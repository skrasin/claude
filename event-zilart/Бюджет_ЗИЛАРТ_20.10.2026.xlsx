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Бюдже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<sst xmlns="http://schemas.openxmlformats.org/spreadsheetml/2006/main" count="20" uniqueCount="20">
  <si>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БЮДЖЕТ МЕРОПРИЯТИЯ</t>
  </si>
  <si>
    <t xml:space="preserve">Концерт · 20.10.2026 · Музей ЗИЛАРТ</t>
  </si>
  <si>
    <t xml:space="preserve">#</t>
  </si>
  <si>
    <t xml:space="preserve">Статья</t>
  </si>
  <si>
    <t xml:space="preserve">Кол-во</t>
  </si>
  <si>
    <t xml:space="preserve">Цена / ставка</t>
  </si>
  <si>
    <t xml:space="preserve">Сумма, ₽</t>
  </si>
  <si>
    <t xml:space="preserve">Технический райдер (смета СМ-2026-024)</t>
  </si>
  <si>
    <t xml:space="preserve">Округлённая сумма. По смете Спотыкача 75 669 ₽ (68 790 ₽ + налог 10%)</t>
  </si>
  <si>
    <t xml:space="preserve">Музыканты</t>
  </si>
  <si>
    <t xml:space="preserve">4 человека по 20 000 ₽</t>
  </si>
  <si>
    <t xml:space="preserve">Звукорежиссёр</t>
  </si>
  <si>
    <t xml:space="preserve">ИТОГО РАСХОДЫ</t>
  </si>
  <si>
    <t xml:space="preserve">Комиссия и налоги</t>
  </si>
  <si>
    <t xml:space="preserve">20% на всю сумму расходов</t>
  </si>
  <si>
    <t xml:space="preserve">ИТОГО К ОПЛАТЕ</t>
  </si>
  <si>
    <t xml:space="preserve">• Жёлтые ячейки — вводимые значения, остальное считается формулами.</t>
  </si>
  <si>
    <t xml:space="preserve">• Райдер округлён до 90 000 ₽; по смете СМ-2026-024 выходит 75 669 ₽ (налог 10% внутри).</t>
  </si>
  <si>
    <t xml:space="preserve">• Комиссия и налоги — 20% на всю сумму расходов.</t>
  </si>
  <si>
    <t xml:space="preserve">• Дата на уточнении — по примечанию в смете ожидается согласование с артистами после просмотра площадки.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</si>
</sst>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_-;\-* #,##0_-;_-* \-??_-;_-@_-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04040"/>
      </bottom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double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5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n">
        <v>1</v>
      </c>
      <c r="B5" s="6" t="s">
        <v>7</v>
      </c>
      <c r="C5" s="7" t="n">
        <v>1</v>
      </c>
      <c r="D5" s="8" t="n">
        <v>90000</v>
      </c>
      <c r="E5" s="9" t="n">
        <f aca="false">C5*D5</f>
        <v>90000</v>
      </c>
      <c r="G5" s="2" t="s">
        <v>8</v>
      </c>
    </row>
    <row r="6" customFormat="false" ht="15" hidden="false" customHeight="false" outlineLevel="0" collapsed="false">
      <c r="A6" s="5" t="n">
        <v>2</v>
      </c>
      <c r="B6" s="6" t="s">
        <v>9</v>
      </c>
      <c r="C6" s="7" t="n">
        <v>4</v>
      </c>
      <c r="D6" s="8" t="n">
        <v>20000</v>
      </c>
      <c r="E6" s="9" t="n">
        <f aca="false">C6*D6</f>
        <v>80000</v>
      </c>
      <c r="G6" s="2" t="s">
        <v>10</v>
      </c>
    </row>
    <row r="7" customFormat="false" ht="15" hidden="false" customHeight="false" outlineLevel="0" collapsed="false">
      <c r="A7" s="5" t="n">
        <v>3</v>
      </c>
      <c r="B7" s="6" t="s">
        <v>11</v>
      </c>
      <c r="C7" s="7" t="n">
        <v>1</v>
      </c>
      <c r="D7" s="8" t="n">
        <v>20000</v>
      </c>
      <c r="E7" s="9" t="n">
        <f aca="false">C7*D7</f>
        <v>20000</v>
      </c>
    </row>
    <row r="8" customFormat="false" ht="15" hidden="false" customHeight="false" outlineLevel="0" collapsed="false">
      <c r="A8" s="10"/>
      <c r="B8" s="11" t="s">
        <v>12</v>
      </c>
      <c r="C8" s="10"/>
      <c r="D8" s="10"/>
      <c r="E8" s="12" t="n">
        <f aca="false">SUM(E5:E7)</f>
        <v>190000</v>
      </c>
    </row>
    <row r="9" customFormat="false" ht="15" hidden="false" customHeight="false" outlineLevel="0" collapsed="false">
      <c r="A9" s="5" t="n">
        <v>4</v>
      </c>
      <c r="B9" s="6" t="s">
        <v>13</v>
      </c>
      <c r="D9" s="13" t="n">
        <v>0.2</v>
      </c>
      <c r="E9" s="9" t="n">
        <f aca="false">ROUND($E$8*D9,0)</f>
        <v>38000</v>
      </c>
      <c r="G9" s="2" t="s">
        <v>14</v>
      </c>
    </row>
    <row r="10" customFormat="false" ht="19.5" hidden="false" customHeight="true" outlineLevel="0" collapsed="false">
      <c r="A10" s="14"/>
      <c r="B10" s="15" t="s">
        <v>15</v>
      </c>
      <c r="C10" s="14"/>
      <c r="D10" s="14"/>
      <c r="E10" s="16" t="n">
        <f aca="false">E8+E9</f>
        <v>228000</v>
      </c>
    </row>
    <row r="12" customFormat="false" ht="15" hidden="false" customHeight="false" outlineLevel="0" collapsed="false">
      <c r="B12" s="2" t="s">
        <v>16</v>
      </c>
    </row>
    <row r="13" customFormat="false" ht="15" hidden="false" customHeight="false" outlineLevel="0" collapsed="false">
      <c r="B13" s="2" t="s">
        <v>17</v>
      </c>
    </row>
    <row r="14" customFormat="false" ht="15" hidden="false" customHeight="false" outlineLevel="0" collapsed="false">
      <c r="B14" s="2" t="s">
        <v>18</v>
      </c>
    </row>
    <row r="15" customFormat="false" ht="15" hidden="false" customHeight="false" outlineLevel="0" collapsed="false">
      <c r="B1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2026-10-05T13:48:46Z</dcterms:created>
  <dc:creator>openpyxl</dc:creator>
  <dc:description/>
  <dc:language>en-US</dc:language>
  <cp:lastModifiedBy/>
  <dcterms:modified xsi:type="dcterms:W3CDTF">2026-10-05T13:48:46Z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