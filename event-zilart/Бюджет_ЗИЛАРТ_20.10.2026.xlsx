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Бюджет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<sst xmlns="http://schemas.openxmlformats.org/spreadsheetml/2006/main" count="20" uniqueCount="20">
  <si>
    <t xml:space="preserve">БЮДЖЕТ МЕРОПРИЯТИЯ</t>
  </si>
  <si>
    <t xml:space="preserve">Оркестр, концерт · 20.10.2026 · Музей ЗИЛАРТ, бул. Братьев Весниных, 3 (3 этаж)</t>
  </si>
  <si>
    <t xml:space="preserve">#</t>
  </si>
  <si>
    <t xml:space="preserve">Статья</t>
  </si>
  <si>
    <t xml:space="preserve">Кол-во</t>
  </si>
  <si>
    <t xml:space="preserve">Цена / ставка</t>
  </si>
  <si>
    <t xml:space="preserve">Сумма, ₽</t>
  </si>
  <si>
    <t xml:space="preserve">Технический райдер (смета СМ-2026-024)</t>
  </si>
  <si>
    <t xml:space="preserve">Спотыкач, 04.10.2026: позиции 68 790 ₽ + налог 10%</t>
  </si>
  <si>
    <t xml:space="preserve">Музыканты</t>
  </si>
  <si>
    <t xml:space="preserve">4 человека по 20 000 ₽</t>
  </si>
  <si>
    <t xml:space="preserve">Звукорежиссёр</t>
  </si>
  <si>
    <t xml:space="preserve">ИТОГО РАСХОДЫ</t>
  </si>
  <si>
    <t xml:space="preserve">Комиссия сверху</t>
  </si>
  <si>
    <t xml:space="preserve">Начисляется на всю сумму расходов</t>
  </si>
  <si>
    <t xml:space="preserve">ИТОГО К ОПЛАТЕ</t>
  </si>
  <si>
    <t xml:space="preserve">• Жёлтые ячейки — вводимые значения, остальное считается формулами.</t>
  </si>
  <si>
    <t xml:space="preserve">• Райдер взят итоговой суммой по смете СМ-2026-024 (налог 10% уже внутри).</t>
  </si>
  <si>
    <t xml:space="preserve">• Комиссия округлена до рубля: точное значение 35 133,80 ₽.</t>
  </si>
  <si>
    <t xml:space="preserve">• Дата на уточнении — по примечанию в смете ожидается согласование с артистами после просмотра площадки.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</si>
</sst>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_-* #,##0_-;\-* #,##0_-;_-* \-??_-;_-@_-"/>
    <numFmt numFmtId="166" formatCode="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9"/>
      <color rgb="FF80808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404040"/>
      </bottom>
      <diagonal/>
    </border>
    <border diagonalUp="false" diagonalDown="false">
      <left/>
      <right/>
      <top style="thin">
        <color rgb="FF404040"/>
      </top>
      <bottom/>
      <diagonal/>
    </border>
    <border diagonalUp="false" diagonalDown="false">
      <left/>
      <right/>
      <top style="double">
        <color rgb="FF404040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44"/>
    <col collapsed="false" customWidth="true" hidden="false" outlineLevel="0" max="3" min="3" style="0" width="9"/>
    <col collapsed="false" customWidth="true" hidden="false" outlineLevel="0" max="4" min="4" style="0" width="13"/>
    <col collapsed="false" customWidth="true" hidden="false" outlineLevel="0" max="5" min="5" style="0" width="14"/>
    <col collapsed="false" customWidth="true" hidden="false" outlineLevel="0" max="6" min="6" style="0" width="2"/>
    <col collapsed="false" customWidth="true" hidden="false" outlineLevel="0" max="7" min="7" style="0" width="58"/>
  </cols>
  <sheetData>
    <row r="1" customFormat="false" ht="16.1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4" t="s">
        <v>4</v>
      </c>
      <c r="D4" s="4" t="s">
        <v>5</v>
      </c>
      <c r="E4" s="4" t="s">
        <v>6</v>
      </c>
    </row>
    <row r="5" customFormat="false" ht="15" hidden="false" customHeight="false" outlineLevel="0" collapsed="false">
      <c r="A5" s="5" t="n">
        <v>1</v>
      </c>
      <c r="B5" s="6" t="s">
        <v>7</v>
      </c>
      <c r="C5" s="7" t="n">
        <v>1</v>
      </c>
      <c r="D5" s="8" t="n">
        <v>75669</v>
      </c>
      <c r="E5" s="9" t="n">
        <f aca="false">C5*D5</f>
        <v>75669</v>
      </c>
      <c r="G5" s="2" t="s">
        <v>8</v>
      </c>
    </row>
    <row r="6" customFormat="false" ht="15" hidden="false" customHeight="false" outlineLevel="0" collapsed="false">
      <c r="A6" s="5" t="n">
        <v>2</v>
      </c>
      <c r="B6" s="6" t="s">
        <v>9</v>
      </c>
      <c r="C6" s="7" t="n">
        <v>4</v>
      </c>
      <c r="D6" s="8" t="n">
        <v>20000</v>
      </c>
      <c r="E6" s="9" t="n">
        <f aca="false">C6*D6</f>
        <v>80000</v>
      </c>
      <c r="G6" s="2" t="s">
        <v>10</v>
      </c>
    </row>
    <row r="7" customFormat="false" ht="15" hidden="false" customHeight="false" outlineLevel="0" collapsed="false">
      <c r="A7" s="5" t="n">
        <v>3</v>
      </c>
      <c r="B7" s="6" t="s">
        <v>11</v>
      </c>
      <c r="C7" s="7" t="n">
        <v>1</v>
      </c>
      <c r="D7" s="8" t="n">
        <v>20000</v>
      </c>
      <c r="E7" s="9" t="n">
        <f aca="false">C7*D7</f>
        <v>20000</v>
      </c>
    </row>
    <row r="8" customFormat="false" ht="15" hidden="false" customHeight="false" outlineLevel="0" collapsed="false">
      <c r="A8" s="10"/>
      <c r="B8" s="11" t="s">
        <v>12</v>
      </c>
      <c r="C8" s="10"/>
      <c r="D8" s="10"/>
      <c r="E8" s="12" t="n">
        <f aca="false">SUM(E5:E7)</f>
        <v>175669</v>
      </c>
    </row>
    <row r="9" customFormat="false" ht="15" hidden="false" customHeight="false" outlineLevel="0" collapsed="false">
      <c r="A9" s="5" t="n">
        <v>4</v>
      </c>
      <c r="B9" s="6" t="s">
        <v>13</v>
      </c>
      <c r="D9" s="13" t="n">
        <v>0.2</v>
      </c>
      <c r="E9" s="9" t="n">
        <f aca="false">ROUND($E$8*D9,0)</f>
        <v>35134</v>
      </c>
      <c r="G9" s="2" t="s">
        <v>14</v>
      </c>
    </row>
    <row r="10" customFormat="false" ht="19.5" hidden="false" customHeight="true" outlineLevel="0" collapsed="false">
      <c r="A10" s="14"/>
      <c r="B10" s="15" t="s">
        <v>15</v>
      </c>
      <c r="C10" s="14"/>
      <c r="D10" s="14"/>
      <c r="E10" s="16" t="n">
        <f aca="false">E8+E9</f>
        <v>210803</v>
      </c>
    </row>
    <row r="12" customFormat="false" ht="15" hidden="false" customHeight="false" outlineLevel="0" collapsed="false">
      <c r="B12" s="2" t="s">
        <v>16</v>
      </c>
    </row>
    <row r="13" customFormat="false" ht="15" hidden="false" customHeight="false" outlineLevel="0" collapsed="false">
      <c r="B13" s="2" t="s">
        <v>17</v>
      </c>
    </row>
    <row r="14" customFormat="false" ht="15" hidden="false" customHeight="false" outlineLevel="0" collapsed="false">
      <c r="B14" s="2" t="s">
        <v>18</v>
      </c>
    </row>
    <row r="15" customFormat="false" ht="15" hidden="false" customHeight="false" outlineLevel="0" collapsed="false">
      <c r="B15" s="2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2026-10-05T13:38:29Z</dcterms:created>
  <dc:creator>openpyxl</dc:creator>
  <dc:description/>
  <dc:language>en-US</dc:language>
  <cp:lastModifiedBy/>
  <dcterms:modified xsi:type="dcterms:W3CDTF">2026-10-05T13:38:29Z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