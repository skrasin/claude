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Дашборд" sheetId="1" state="visible" r:id="rId3"/>
    <sheet name="Вводные" sheetId="2" state="visible" r:id="rId4"/>
    <sheet name="Билеты" sheetId="3" state="visible" r:id="rId5"/>
    <sheet name="Маркетинг" sheetId="4" state="visible" r:id="rId6"/>
    <sheet name="Расходы" sheetId="5" state="visible" r:id="rId7"/>
    <sheet name="Экономика" sheetId="6" state="visible" r:id="rId8"/>
    <sheet name="Сценарии" sheetId="7" state="visible" r:id="rId9"/>
    <sheet name="Чувствительность" sheetId="8" state="visible" r:id="rId10"/>
    <sheet name="Варианты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8" authorId="0">
      <text>
        <r>
          <rPr>
            <sz val="10"/>
            <rFont val="Arial"/>
            <family val="2"/>
          </rPr>
          <t xml:space="preserve">Схема 1 выгоднее организатору, но повышает итоговую цену для зрителя и снижает конверсию.
Схема 2 — чаще встречается в договорах с билетными операторами.</t>
        </r>
      </text>
    </comment>
    <comment ref="B24" authorId="0">
      <text>
        <r>
          <rPr>
            <sz val="10"/>
            <rFont val="Arial"/>
            <family val="2"/>
          </rPr>
          <t xml:space="preserve">По условиям сделки на уровне валового сбора удерживается только УСН 6%.
Страховые взносы и банковские комиссии учитываются на втором уровне — при выплате доли организатору.</t>
        </r>
      </text>
    </comment>
    <comment ref="B26" authorId="0">
      <text>
        <r>
          <rPr>
            <sz val="10"/>
            <rFont val="Arial"/>
            <family val="2"/>
          </rPr>
          <t xml:space="preserve">РАО взимает ставку с валового сбора от продажи билетов за публичное исполнение произведений.
Если исполняются только собственные произведения или произведения в общественном достоянии, ставку можно снизить или обнулить — см. лист «Варианты».
Ставку нужно подтвердить в договоре с РАО.</t>
        </r>
      </text>
    </comment>
    <comment ref="B37" authorId="0">
      <text>
        <r>
          <rPr>
            <sz val="10"/>
            <rFont val="Arial"/>
            <family val="2"/>
          </rPr>
          <t xml:space="preserve">Самая частая ловушка в сделках 50/50: прибыль делится пополам, а убыток — нет.
Если площадка не делит убыток, ваш риск асимметричен: выше точки безубыточности вы получаете 50%, ниже — теряете 100%.</t>
        </r>
      </text>
    </comment>
  </commentList>
</comments>
</file>

<file path=xl/sharedStrings.xml><?xml version="1.0" encoding="utf-8"?>
<sst xmlns="http://schemas.openxmlformats.org/spreadsheetml/2006/main" count="553" uniqueCount="459">
  <si>
    <t xml:space="preserve">КОНЦЕРТ: ИТОГОВАЯ ЭКОНОМИКА</t>
  </si>
  <si>
    <t xml:space="preserve">Один экран с главными цифрами. Все они пересчитываются автоматически — меняйте вводные на листах «Вводные», «Билеты», «Расходы» и «Маркетинг».</t>
  </si>
  <si>
    <t xml:space="preserve">Проект</t>
  </si>
  <si>
    <t xml:space="preserve">Дата / площадка</t>
  </si>
  <si>
    <t xml:space="preserve">ГЛАВНЫЕ ЦИФРЫ</t>
  </si>
  <si>
    <t xml:space="preserve">Валовой сбор (box office)</t>
  </si>
  <si>
    <t xml:space="preserve">Продано билетов, шт</t>
  </si>
  <si>
    <t xml:space="preserve">Итого расходы (смета + переменные)</t>
  </si>
  <si>
    <t xml:space="preserve">Средняя цена платного билета</t>
  </si>
  <si>
    <t xml:space="preserve">Налоги, РАО и комиссии, всего</t>
  </si>
  <si>
    <t xml:space="preserve">Дополнительные доходы</t>
  </si>
  <si>
    <t xml:space="preserve">ПРИБЫЛЬ К РАЗДЕЛУ С ПЛОЩАДКОЙ</t>
  </si>
  <si>
    <t xml:space="preserve">ЧИСТЫЙ ДОХОД ОРГАНИЗАТОРА</t>
  </si>
  <si>
    <t xml:space="preserve">УСТОЙЧИВОСТЬ ПРОЕКТА</t>
  </si>
  <si>
    <t xml:space="preserve">Точка безубыточности, платных билетов</t>
  </si>
  <si>
    <t xml:space="preserve">Точка безубыточности, % зала</t>
  </si>
  <si>
    <t xml:space="preserve">Запас прочности</t>
  </si>
  <si>
    <t xml:space="preserve">Рентабельность к валовому сбору</t>
  </si>
  <si>
    <t xml:space="preserve">Маржинальный доход с билета</t>
  </si>
  <si>
    <t xml:space="preserve">Чистый доход на один билет</t>
  </si>
  <si>
    <t xml:space="preserve">ВЕРДИКТ</t>
  </si>
  <si>
    <t xml:space="preserve">СЦЕНАРИИ — ЧИСТЫЙ ДОХОД ОРГАНИЗАТОРА</t>
  </si>
  <si>
    <t xml:space="preserve">Пессимистичный</t>
  </si>
  <si>
    <t xml:space="preserve">Базовый</t>
  </si>
  <si>
    <t xml:space="preserve">Оптимистичный</t>
  </si>
  <si>
    <t xml:space="preserve">Аншлаг</t>
  </si>
  <si>
    <t xml:space="preserve">← заполняемость зала в сценарии</t>
  </si>
  <si>
    <t xml:space="preserve">ЧТО ОБЯЗАТЕЛЬНО УТОЧНИТЬ ПЕРЕД ЗАПУСКОМ</t>
  </si>
  <si>
    <t xml:space="preserve">1. Договор с площадкой: что именно входит в её вклад (звук, свет, персонал, охрана, уборка) — впишите это в столбец «Оплачивает» на листе «Расходы».</t>
  </si>
  <si>
    <t xml:space="preserve">2. Договор с площадкой: делится ли убыток. Если нет — весь минус ваш, а плюс только наполовину.</t>
  </si>
  <si>
    <t xml:space="preserve">3. Договор с площадкой: из какой базы считается «прибыль к разделу» и кто подтверждает смету расходов.</t>
  </si>
  <si>
    <t xml:space="preserve">4. Билетный оператор: ставка комиссии и чья это комиссия — покупателя или ваша (схема 1 или 2 на листе «Вводные»).</t>
  </si>
  <si>
    <t xml:space="preserve">5. Билетный оператор: агентская схема или прямая продажа — от этого зависит, вся ли касса попадает в базу УСН.</t>
  </si>
  <si>
    <t xml:space="preserve">6. РАО: ставка по договору и перечень исполняемых произведений (собственные и общественное достояние считаются иначе).</t>
  </si>
  <si>
    <t xml:space="preserve">7. Кто получает деньги от билетов физически — вы или площадка. От этого зависит, у кого возникает доход и на каком уровне удерживается УСН.</t>
  </si>
  <si>
    <t xml:space="preserve">8. Технический райдер артиста — пришлите файл, и я перенесу его построчно в смету с реальными ценами аренды.</t>
  </si>
  <si>
    <t xml:space="preserve">ВВОДНЫЕ ДАННЫЕ И ДОПУЩЕНИЯ</t>
  </si>
  <si>
    <t xml:space="preserve">Синие ячейки на жёлтом фоне — вводные, их можно и нужно менять. Чёрные — формулы, их менять не нужно. Зелёные — ссылки на другие листы.</t>
  </si>
  <si>
    <t xml:space="preserve">1. ПАРАМЕТРЫ СОБЫТИЯ</t>
  </si>
  <si>
    <t xml:space="preserve">Название концерта</t>
  </si>
  <si>
    <t xml:space="preserve">— укажите название —</t>
  </si>
  <si>
    <t xml:space="preserve">Артист / состав</t>
  </si>
  <si>
    <t xml:space="preserve">— укажите —</t>
  </si>
  <si>
    <t xml:space="preserve">Дата и время</t>
  </si>
  <si>
    <t xml:space="preserve">— ДД.ММ.ГГГГ, 20:00 —</t>
  </si>
  <si>
    <t xml:space="preserve">Площадка</t>
  </si>
  <si>
    <t xml:space="preserve">— клуб —</t>
  </si>
  <si>
    <t xml:space="preserve">Город</t>
  </si>
  <si>
    <t xml:space="preserve">— город —</t>
  </si>
  <si>
    <t xml:space="preserve">2. ЗАЛ И ПОСЕЩАЕМОСТЬ</t>
  </si>
  <si>
    <t xml:space="preserve">Вместимость зала, чел.</t>
  </si>
  <si>
    <t xml:space="preserve">Клубный формат. Поставьте реальную вместимость по договору с площадкой</t>
  </si>
  <si>
    <t xml:space="preserve">Заполняемость — пессимистичный сценарий</t>
  </si>
  <si>
    <t xml:space="preserve">Слабый промо, плохая погода, конкурирующее событие в городе</t>
  </si>
  <si>
    <t xml:space="preserve">Заполняемость — оптимистичный сценарий</t>
  </si>
  <si>
    <t xml:space="preserve">Заполняемость — аншлаг</t>
  </si>
  <si>
    <t xml:space="preserve">Базовый сценарий берётся с листа «Билеты» — там задана покатегорийная продажа</t>
  </si>
  <si>
    <t xml:space="preserve">3. БИЛЕТНАЯ ПРОДАЖА</t>
  </si>
  <si>
    <t xml:space="preserve">Схема сервисного сбора (1 или 2)</t>
  </si>
  <si>
    <t xml:space="preserve">1 = сбор платит покупатель сверх цены (вам — полная цена) · 2 = комиссия удерживается из цены (расход организатора)</t>
  </si>
  <si>
    <t xml:space="preserve">Комиссия билетного оператора, %</t>
  </si>
  <si>
    <t xml:space="preserve">Рынок: 5–12% от номинала. Уточните в договоре с оператором</t>
  </si>
  <si>
    <t xml:space="preserve">Доля продаж на входе / напрямую, %</t>
  </si>
  <si>
    <t xml:space="preserve">На эту часть комиссия оператора не начисляется</t>
  </si>
  <si>
    <t xml:space="preserve">4. НАЛОГИ, СБОРЫ И ОТЧИСЛЕНИЯ</t>
  </si>
  <si>
    <t xml:space="preserve">УРОВЕНЬ 1 — с валового сбора (до раздела прибыли)</t>
  </si>
  <si>
    <t xml:space="preserve">УСН «доходы», %</t>
  </si>
  <si>
    <t xml:space="preserve">На первом уровне удерживается только УСН 6%</t>
  </si>
  <si>
    <t xml:space="preserve">ИТОГО фискальная нагрузка, уровень 1</t>
  </si>
  <si>
    <t xml:space="preserve">Удерживается с валового сбора до вычета расходов и раздела прибыли</t>
  </si>
  <si>
    <t xml:space="preserve">Отчисления в РАО, %</t>
  </si>
  <si>
    <t xml:space="preserve">Стандартная ставка для концертов — 5% от валового сбора</t>
  </si>
  <si>
    <t xml:space="preserve">УРОВЕНЬ 2 — с выплаты доли прибыли организатору</t>
  </si>
  <si>
    <t xml:space="preserve">УСН «доходы» с выплаты, %</t>
  </si>
  <si>
    <t xml:space="preserve">Страховые взносы (1% с дохода), %</t>
  </si>
  <si>
    <t xml:space="preserve">Банковские комиссии / эквайринг, %</t>
  </si>
  <si>
    <t xml:space="preserve">ИТОГО фискальная нагрузка, уровень 2</t>
  </si>
  <si>
    <t xml:space="preserve">6% + 1% + 1% = 8% — удерживается с выплаты прибыли по договору с площадкой</t>
  </si>
  <si>
    <t xml:space="preserve">5. РАЗДЕЛ ПРИБЫЛИ С ПЛОЩАДКОЙ</t>
  </si>
  <si>
    <t xml:space="preserve">Доля организатора в прибыли, %</t>
  </si>
  <si>
    <t xml:space="preserve">Доля площадки в прибыли, %</t>
  </si>
  <si>
    <t xml:space="preserve">Убыток делится с площадкой? (Да/Нет)</t>
  </si>
  <si>
    <t xml:space="preserve">Нет</t>
  </si>
  <si>
    <t xml:space="preserve">КРИТИЧНО: если «Нет» — весь убыток на вас. Пропишите это в договоре явно</t>
  </si>
  <si>
    <t xml:space="preserve">Доп. доходы участвуют в разделе? (Да/Нет)</t>
  </si>
  <si>
    <t xml:space="preserve">Мерч, спонсорство, донаты — обычно остаются у организатора целиком</t>
  </si>
  <si>
    <t xml:space="preserve">6. ПРОЧЕЕ</t>
  </si>
  <si>
    <t xml:space="preserve">Переменные расходы на гостя, ₽</t>
  </si>
  <si>
    <t xml:space="preserve">Браслет, печать билета, гардеробный номерок, вода</t>
  </si>
  <si>
    <t xml:space="preserve">Резерв на непредвиденное, % от сметы</t>
  </si>
  <si>
    <t xml:space="preserve">Ниже 10% ставить не рекомендую — всегда вылезает что-то неучтённое</t>
  </si>
  <si>
    <t xml:space="preserve">БИЛЕТНАЯ МАТРИЦА И ДОПОЛНИТЕЛЬНЫЕ ДОХОДЫ</t>
  </si>
  <si>
    <t xml:space="preserve">Базовый сценарий строится именно здесь: задайте цены, квоты мест и ожидаемый процент продажи по каждой категории.</t>
  </si>
  <si>
    <t xml:space="preserve">СТРУКТУРА БИЛЕТОВ</t>
  </si>
  <si>
    <t xml:space="preserve">Категория билета</t>
  </si>
  <si>
    <t xml:space="preserve">Цена, ₽</t>
  </si>
  <si>
    <t xml:space="preserve">Квота, мест</t>
  </si>
  <si>
    <t xml:space="preserve">Ожид. продажа, %</t>
  </si>
  <si>
    <t xml:space="preserve">Продано, шт</t>
  </si>
  <si>
    <t xml:space="preserve">Валовой сбор, ₽</t>
  </si>
  <si>
    <t xml:space="preserve">Доля в сборе</t>
  </si>
  <si>
    <t xml:space="preserve">Комментарий</t>
  </si>
  <si>
    <t xml:space="preserve">Ранняя пташка (early bird)</t>
  </si>
  <si>
    <t xml:space="preserve">Первые 2 недели, ограниченная квота. Даёт ранний денежный поток на маркетинг</t>
  </si>
  <si>
    <t xml:space="preserve">Стандарт (предпродажа)</t>
  </si>
  <si>
    <t xml:space="preserve">Основная квота зала</t>
  </si>
  <si>
    <t xml:space="preserve">Стандарт (на входе, в день концерта)</t>
  </si>
  <si>
    <t xml:space="preserve">Цена на входе выше — это стимул покупать заранее</t>
  </si>
  <si>
    <t xml:space="preserve">Фан-зона у сцены / VIP</t>
  </si>
  <si>
    <t xml:space="preserve">Первые ряды, отдельный вход, мерч в подарок</t>
  </si>
  <si>
    <t xml:space="preserve">Льготный (студенты)</t>
  </si>
  <si>
    <t xml:space="preserve">Заполняет зал и даёт социальный охват</t>
  </si>
  <si>
    <t xml:space="preserve">Промо, пресс, гости артиста</t>
  </si>
  <si>
    <t xml:space="preserve">Денег не приносят, но занимают места и создают переменные расходы</t>
  </si>
  <si>
    <t xml:space="preserve">ИТОГО</t>
  </si>
  <si>
    <t xml:space="preserve">КОНТРОЛЬНЫЕ ПОКАЗАТЕЛИ</t>
  </si>
  <si>
    <t xml:space="preserve">Проверка: сумма квот = вместимость зала?</t>
  </si>
  <si>
    <t xml:space="preserve">Продано билетов всего, шт</t>
  </si>
  <si>
    <t xml:space="preserve">   в т.ч. платных, шт</t>
  </si>
  <si>
    <t xml:space="preserve">   в т.ч. бесплатных (промо, пресс), шт</t>
  </si>
  <si>
    <t xml:space="preserve">Валовой сбор (box office), ₽</t>
  </si>
  <si>
    <t xml:space="preserve">Средняя цена платного билета, ₽</t>
  </si>
  <si>
    <t xml:space="preserve">Доход на одно место зала (yield), ₽</t>
  </si>
  <si>
    <t xml:space="preserve">Ключевая метрика для сравнения площадок и форматов</t>
  </si>
  <si>
    <t xml:space="preserve">Фактическая заполняемость зала, %</t>
  </si>
  <si>
    <t xml:space="preserve">Доля платных билетов от всех проходов, %</t>
  </si>
  <si>
    <t xml:space="preserve">ДОПОЛНИТЕЛЬНЫЕ ДОХОДЫ (не билетные)</t>
  </si>
  <si>
    <t xml:space="preserve">Источник дохода</t>
  </si>
  <si>
    <t xml:space="preserve">База (шт / ₽)</t>
  </si>
  <si>
    <t xml:space="preserve">Ставка, чек, ₽</t>
  </si>
  <si>
    <t xml:space="preserve">Маржа / доля, %</t>
  </si>
  <si>
    <t xml:space="preserve">Доход, ₽</t>
  </si>
  <si>
    <t xml:space="preserve">Мерч: футболки, винил, значки</t>
  </si>
  <si>
    <t xml:space="preserve">Конверсия в мерч 10–20% зала. Продаётся до концерта и на выходе</t>
  </si>
  <si>
    <t xml:space="preserve">Доля от выручки бара</t>
  </si>
  <si>
    <t xml:space="preserve">Часто 10–20% бара. Обязательно прописать в договоре с площадкой</t>
  </si>
  <si>
    <t xml:space="preserve">Спонсорский пакет / партнёр</t>
  </si>
  <si>
    <t xml:space="preserve">Поставьте сумму, если есть партнёр. Самый недооценённый источник — см. лист «Варианты»</t>
  </si>
  <si>
    <t xml:space="preserve">Донаты, краудфандинг, предзаказ</t>
  </si>
  <si>
    <t xml:space="preserve">Сбор до концерта закрывает кассовый разрыв на предоплаты</t>
  </si>
  <si>
    <t xml:space="preserve">Съёмка концерта: релиз, стриминг</t>
  </si>
  <si>
    <t xml:space="preserve">Доход приходит после события — учитывайте отдельно по срокам</t>
  </si>
  <si>
    <t xml:space="preserve">ИТОГО дополнительных доходов</t>
  </si>
  <si>
    <t xml:space="preserve">МАРКЕТИНГ И PR: БЮДЖЕТ, ВОРОНКА, СТОИМОСТЬ БИЛЕТА</t>
  </si>
  <si>
    <t xml:space="preserve">Каждый канал считается до билета: охват → отклик → покупка. Так видно, какой канал реально продаёт, а какой только тратит.</t>
  </si>
  <si>
    <t xml:space="preserve">КАНАЛЫ ПРОДВИЖЕНИЯ</t>
  </si>
  <si>
    <t xml:space="preserve">Канал</t>
  </si>
  <si>
    <t xml:space="preserve">Бюджет, ₽</t>
  </si>
  <si>
    <t xml:space="preserve">Прогноз охвата, чел.</t>
  </si>
  <si>
    <t xml:space="preserve">Отклик (CTR), %</t>
  </si>
  <si>
    <t xml:space="preserve">Конверсия в покупку, %</t>
  </si>
  <si>
    <t xml:space="preserve">Прогноз билетов, шт</t>
  </si>
  <si>
    <t xml:space="preserve">CPA, ₽ за билет</t>
  </si>
  <si>
    <t xml:space="preserve">Таргетированная реклама VK</t>
  </si>
  <si>
    <t xml:space="preserve">Основной платный канал в РФ. Гео + интересы + look-alike по базе</t>
  </si>
  <si>
    <t xml:space="preserve">Посевы в Telegram-каналах</t>
  </si>
  <si>
    <t xml:space="preserve">Городские и жанровые каналы. Просите статистику охватов до оплаты</t>
  </si>
  <si>
    <t xml:space="preserve">Блогеры и лидеры мнений</t>
  </si>
  <si>
    <t xml:space="preserve">Часть работает по бартеру за билеты — снижает бюджет</t>
  </si>
  <si>
    <t xml:space="preserve">Наружная реклама и расклейка афиш</t>
  </si>
  <si>
    <t xml:space="preserve">Работает на узнавание, плохо атрибутируется. Отдельный промокод обязателен</t>
  </si>
  <si>
    <t xml:space="preserve">Городские афиши: Яндекс.Афиша, KudaGo</t>
  </si>
  <si>
    <t xml:space="preserve">Бесплатное размещение. Подавать за 3–4 недели</t>
  </si>
  <si>
    <t xml:space="preserve">PR: пресс-релиз, СМИ, интервью</t>
  </si>
  <si>
    <t xml:space="preserve">Даёт доверие и вторичные перепечатки, а не прямые продажи</t>
  </si>
  <si>
    <t xml:space="preserve">Email и база подписчиков</t>
  </si>
  <si>
    <t xml:space="preserve">Самый дешёвый билет. Базу надо собирать с прошлых концертов</t>
  </si>
  <si>
    <t xml:space="preserve">Продакшн контента: дизайн, тизер, фото</t>
  </si>
  <si>
    <t xml:space="preserve">Не продаёт напрямую, но без него не работают все каналы выше</t>
  </si>
  <si>
    <t xml:space="preserve">ИТОГО МАРКЕТИНГ И PR</t>
  </si>
  <si>
    <t xml:space="preserve">ПРОВЕРКА ЗДОРОВЬЯ МАРКЕТИНГА</t>
  </si>
  <si>
    <t xml:space="preserve">Бюджет маркетинга и PR, ₽</t>
  </si>
  <si>
    <t xml:space="preserve">Прогноз билетов от маркетинга, шт</t>
  </si>
  <si>
    <t xml:space="preserve">План продаж по билетной матрице, шт</t>
  </si>
  <si>
    <t xml:space="preserve">Покрытие плана продаж маркетингом, %</t>
  </si>
  <si>
    <t xml:space="preserve">Ниже 100% — план продаж ничем не обеспечен. Выше 130% — можно снять часть бюджета</t>
  </si>
  <si>
    <t xml:space="preserve">Средний CPA (стоимость привлечения билета), ₽</t>
  </si>
  <si>
    <t xml:space="preserve">CPA к цене билета, %</t>
  </si>
  <si>
    <t xml:space="preserve">Здоровый диапазон — до 25%. Выше 35% — канальная модель не сходится</t>
  </si>
  <si>
    <t xml:space="preserve">Доля маркетинга в валовом сборе, %</t>
  </si>
  <si>
    <t xml:space="preserve">Ориентир для клубного концерта — 10–15%. Выше 20% — бюджет съедает прибыль</t>
  </si>
  <si>
    <t xml:space="preserve">Вердикт</t>
  </si>
  <si>
    <t xml:space="preserve">СМЕТА РАСХОДОВ</t>
  </si>
  <si>
    <t xml:space="preserve">Столбец «Оплачивает» решает всё: строки со значением «Площадка» показаны по рыночной цене, но в ваши расходы не попадают. Так видно реальный вклад площадки в сделку 50/50.</t>
  </si>
  <si>
    <t xml:space="preserve">Статья расхода</t>
  </si>
  <si>
    <t xml:space="preserve">Кол-во</t>
  </si>
  <si>
    <t xml:space="preserve">Ед.</t>
  </si>
  <si>
    <t xml:space="preserve">Цена за ед., ₽</t>
  </si>
  <si>
    <t xml:space="preserve">Сумма организатора, ₽</t>
  </si>
  <si>
    <t xml:space="preserve">Оплачивает</t>
  </si>
  <si>
    <t xml:space="preserve">1. ПЛОЩАДКА И ТЕХНИЧЕСКОЕ ОБЕСПЕЧЕНИЕ</t>
  </si>
  <si>
    <t xml:space="preserve">Аренда зала (смена)</t>
  </si>
  <si>
    <t xml:space="preserve">смена</t>
  </si>
  <si>
    <t xml:space="preserve">При сделке 50/50 аренда не выставляется — это вклад площадки</t>
  </si>
  <si>
    <t xml:space="preserve">Доп. часы: монтаж и саундчек</t>
  </si>
  <si>
    <t xml:space="preserve">час</t>
  </si>
  <si>
    <t xml:space="preserve">Обычно входит в смену. Обязательно уточните в договоре</t>
  </si>
  <si>
    <t xml:space="preserve">Звуковой комплект PA</t>
  </si>
  <si>
    <t xml:space="preserve">компл.</t>
  </si>
  <si>
    <t xml:space="preserve">Штатный аппарат клуба</t>
  </si>
  <si>
    <t xml:space="preserve">Доп. микрофоны, радиосистемы, стойки</t>
  </si>
  <si>
    <t xml:space="preserve">Организатор</t>
  </si>
  <si>
    <t xml:space="preserve">Под конкретный состав почти всегда докупается в аренду</t>
  </si>
  <si>
    <t xml:space="preserve">Мониторная линия / in-ear</t>
  </si>
  <si>
    <t xml:space="preserve">Критично для качества исполнения на сцене</t>
  </si>
  <si>
    <t xml:space="preserve">Звукорежиссёр FOH (свой)</t>
  </si>
  <si>
    <t xml:space="preserve">Свой инженер — предсказуемый звук. Клубный — лотерея</t>
  </si>
  <si>
    <t xml:space="preserve">Мониторный инженер</t>
  </si>
  <si>
    <t xml:space="preserve">В клубе часто совмещается с FOH</t>
  </si>
  <si>
    <t xml:space="preserve">Световое оборудование</t>
  </si>
  <si>
    <t xml:space="preserve">Штатный свет клуба</t>
  </si>
  <si>
    <t xml:space="preserve">Художник по свету / оператор</t>
  </si>
  <si>
    <t xml:space="preserve">Свет под программу, а не «дискотека по кнопке»</t>
  </si>
  <si>
    <t xml:space="preserve">Бэклайн: барабаны, усилители, клавиши</t>
  </si>
  <si>
    <t xml:space="preserve">По техническому райдеру</t>
  </si>
  <si>
    <t xml:space="preserve">Экран, проекция, видеоконтент</t>
  </si>
  <si>
    <t xml:space="preserve">Поставьте количество 1, если в программе есть видеоряд</t>
  </si>
  <si>
    <t xml:space="preserve">Электрика, кабели, распределение</t>
  </si>
  <si>
    <t xml:space="preserve">Монтаж, демонтаж, погрузка</t>
  </si>
  <si>
    <t xml:space="preserve">чел.</t>
  </si>
  <si>
    <t xml:space="preserve">Разгрузка и погрузка бэклайна</t>
  </si>
  <si>
    <t xml:space="preserve">Итого по блоку: Площадка и техническое обеспечение</t>
  </si>
  <si>
    <t xml:space="preserve">2. ПЕРСОНАЛ И ОБСЛУЖИВАНИЕ</t>
  </si>
  <si>
    <t xml:space="preserve">Администратор площадки</t>
  </si>
  <si>
    <t xml:space="preserve">Билетный контроль</t>
  </si>
  <si>
    <t xml:space="preserve">Гардероб</t>
  </si>
  <si>
    <t xml:space="preserve">Охрана</t>
  </si>
  <si>
    <t xml:space="preserve">Ориентир — 1 человек на 75–100 гостей</t>
  </si>
  <si>
    <t xml:space="preserve">Уборка до и после</t>
  </si>
  <si>
    <t xml:space="preserve">Дежурный медик</t>
  </si>
  <si>
    <t xml:space="preserve">Требование для массовых мероприятий</t>
  </si>
  <si>
    <t xml:space="preserve">Фотограф</t>
  </si>
  <si>
    <t xml:space="preserve">Контент окупается в промо следующего концерта</t>
  </si>
  <si>
    <t xml:space="preserve">Видеосъёмка концерта (2 камеры)</t>
  </si>
  <si>
    <t xml:space="preserve">Материал для клипов, отчётного видео и питчей площадкам</t>
  </si>
  <si>
    <t xml:space="preserve">Продюсер / директор проекта</t>
  </si>
  <si>
    <t xml:space="preserve">проект</t>
  </si>
  <si>
    <t xml:space="preserve">Поставьте 1, если проект ведёт наёмный человек, а не вы</t>
  </si>
  <si>
    <t xml:space="preserve">Итого по блоку: Персонал и обслуживание</t>
  </si>
  <si>
    <t xml:space="preserve">3. ПРОДАКШН И ЛОГИСТИКА</t>
  </si>
  <si>
    <t xml:space="preserve">Репетиции и прогон программы</t>
  </si>
  <si>
    <t xml:space="preserve">Аренда репетиционной базы</t>
  </si>
  <si>
    <t xml:space="preserve">Транспорт оборудования</t>
  </si>
  <si>
    <t xml:space="preserve">рейс</t>
  </si>
  <si>
    <t xml:space="preserve">Туда и обратно</t>
  </si>
  <si>
    <t xml:space="preserve">Трансфер и проживание команды</t>
  </si>
  <si>
    <t xml:space="preserve">Заполните, если команда не из этого города</t>
  </si>
  <si>
    <t xml:space="preserve">Кейтеринг и райдер бэкстейджа</t>
  </si>
  <si>
    <t xml:space="preserve">По числу людей на площадке, включая техников</t>
  </si>
  <si>
    <t xml:space="preserve">Вода, расходники, хозтовары</t>
  </si>
  <si>
    <t xml:space="preserve">Полиграфия: афиши, флаеры</t>
  </si>
  <si>
    <t xml:space="preserve">тираж</t>
  </si>
  <si>
    <t xml:space="preserve">Печать. Размещение — в бюджете маркетинга</t>
  </si>
  <si>
    <t xml:space="preserve">Бейджи, браслеты, программки</t>
  </si>
  <si>
    <t xml:space="preserve">Оформление сцены и зала, декор</t>
  </si>
  <si>
    <t xml:space="preserve">Сильно влияет на восприятие и на качество контента</t>
  </si>
  <si>
    <t xml:space="preserve">Итого по блоку: Продакшн и логистика</t>
  </si>
  <si>
    <t xml:space="preserve">5. ЮРИДИЧЕСКОЕ, ФИНАНСОВОЕ, ПРОЧЕЕ</t>
  </si>
  <si>
    <t xml:space="preserve">Страхование мероприятия</t>
  </si>
  <si>
    <t xml:space="preserve">полис</t>
  </si>
  <si>
    <t xml:space="preserve">Рекомендую при бюджете свыше 500 000 ₽ — покрывает срыв и отмену</t>
  </si>
  <si>
    <t xml:space="preserve">Юридическое сопровождение, договоры</t>
  </si>
  <si>
    <t xml:space="preserve">Договор с площадкой, артистами, лицензия РАО</t>
  </si>
  <si>
    <t xml:space="preserve">Согласования и уведомления</t>
  </si>
  <si>
    <t xml:space="preserve">Онлайн-касса, ОФД, кассовое обслуживание</t>
  </si>
  <si>
    <t xml:space="preserve">Если часть билетов продаёте сами</t>
  </si>
  <si>
    <t xml:space="preserve">Итого по блоку: Юридическое, финансовое, прочее</t>
  </si>
  <si>
    <t xml:space="preserve">4. МАРКЕТИНГ И PR</t>
  </si>
  <si>
    <t xml:space="preserve">Бюджет маркетинга и PR (детализация — на листе «Маркетинг»)</t>
  </si>
  <si>
    <t xml:space="preserve">Меняется на листе «Маркетинг» — здесь только итог</t>
  </si>
  <si>
    <t xml:space="preserve">Итого по блоку: Маркетинг и PR</t>
  </si>
  <si>
    <t xml:space="preserve">ИТОГИ СМЕТЫ</t>
  </si>
  <si>
    <t xml:space="preserve">Прямые расходы организатора (блоки 1–5)</t>
  </si>
  <si>
    <t xml:space="preserve">Резерв на непредвиденное</t>
  </si>
  <si>
    <t xml:space="preserve">Ставка резерва задаётся на листе «Вводные»</t>
  </si>
  <si>
    <t xml:space="preserve">ИТОГО ПОСТОЯННЫЕ РАСХОДЫ ОРГАНИЗАТОРА</t>
  </si>
  <si>
    <t xml:space="preserve">Справочно: рыночная стоимость услуг, которые берёт на себя площадка</t>
  </si>
  <si>
    <t xml:space="preserve">Это ваш реальный аргумент в переговорах о доле: сравните с половиной прибыли, которую отдаёте</t>
  </si>
  <si>
    <t xml:space="preserve">ЭКОНОМИКА КОНЦЕРТА: ОТ КАССЫ ДО ДЕНЕГ В КАРМАНЕ</t>
  </si>
  <si>
    <t xml:space="preserve">Водопад по вашей схеме: УСН 6% с валового сбора → расходы → раздел прибыли с площадкой → 8% (6+1+1) с выплаты вам.</t>
  </si>
  <si>
    <t xml:space="preserve">Показатель</t>
  </si>
  <si>
    <t xml:space="preserve">Сумма, ₽</t>
  </si>
  <si>
    <t xml:space="preserve">% от сбора</t>
  </si>
  <si>
    <t xml:space="preserve">ДОХОДНАЯ ЧАСТЬ</t>
  </si>
  <si>
    <t xml:space="preserve">   в том числе платных, шт</t>
  </si>
  <si>
    <t xml:space="preserve">ВАЛОВОЙ СБОР (BOX OFFICE)</t>
  </si>
  <si>
    <t xml:space="preserve">Вся сумма, которую платят зрители за номинал билета</t>
  </si>
  <si>
    <t xml:space="preserve">Сервисный сбор с покупателя (справочно)</t>
  </si>
  <si>
    <t xml:space="preserve">При схеме 1 это деньги оператора сверх цены — в вашу выручку не входят</t>
  </si>
  <si>
    <t xml:space="preserve">ВЫЧЕТЫ ИЗ ВАЛОВОГО СБОРА — УРОВЕНЬ 1</t>
  </si>
  <si>
    <t xml:space="preserve">Комиссия билетного оператора</t>
  </si>
  <si>
    <t xml:space="preserve">При схеме 2 удерживается из цены билета. На продажи «на входе» не начисляется</t>
  </si>
  <si>
    <t xml:space="preserve">Отчисления в РАО</t>
  </si>
  <si>
    <t xml:space="preserve">5% от валового сбора за публичное исполнение произведений</t>
  </si>
  <si>
    <t xml:space="preserve">УСН 6% с валового сбора</t>
  </si>
  <si>
    <t xml:space="preserve">Уровень 1: только УСН, без взносов и банковской комиссии</t>
  </si>
  <si>
    <t xml:space="preserve">ИТОГО ВЫЧЕТОВ</t>
  </si>
  <si>
    <t xml:space="preserve">СБОР ПОСЛЕ ВЫЧЕТОВ</t>
  </si>
  <si>
    <t xml:space="preserve">РАСХОДЫ</t>
  </si>
  <si>
    <t xml:space="preserve">Площадка и техническое обеспечение</t>
  </si>
  <si>
    <t xml:space="preserve">Персонал и обслуживание</t>
  </si>
  <si>
    <t xml:space="preserve">Продакшн и логистика</t>
  </si>
  <si>
    <t xml:space="preserve">Маркетинг и PR</t>
  </si>
  <si>
    <t xml:space="preserve">Детализация по каналам и стоимость привлечения — на листе «Маркетинг»</t>
  </si>
  <si>
    <t xml:space="preserve">Юридическое, финансовое, прочее</t>
  </si>
  <si>
    <t xml:space="preserve">Итого постоянных расходов</t>
  </si>
  <si>
    <t xml:space="preserve">Переменные расходы на гостей</t>
  </si>
  <si>
    <t xml:space="preserve">Браслеты, печать билетов, вода, гардеробные номерки — растут вместе с залом</t>
  </si>
  <si>
    <t xml:space="preserve">ИТОГО РАСХОДЫ</t>
  </si>
  <si>
    <t xml:space="preserve">РАЗДЕЛ ПРИБЫЛИ С ПЛОЩАДКОЙ</t>
  </si>
  <si>
    <t xml:space="preserve">Доп. доходы, участвующие в разделе (за вычетом УСН 6%)</t>
  </si>
  <si>
    <t xml:space="preserve">Переключатель «Доп. доходы участвуют в разделе» — на листе «Вводные»</t>
  </si>
  <si>
    <t xml:space="preserve">ПРИБЫЛЬ К РАЗДЕЛУ</t>
  </si>
  <si>
    <t xml:space="preserve">Доля площадки</t>
  </si>
  <si>
    <t xml:space="preserve">Если убыток не делится, площадка не несёт ничего — весь минус ваш</t>
  </si>
  <si>
    <t xml:space="preserve">Доля организатора — выплата по договору</t>
  </si>
  <si>
    <t xml:space="preserve">Налог и комиссии с выплаты (уровень 2: 6%+1%+1%)</t>
  </si>
  <si>
    <t xml:space="preserve">Выплата от площадки — второй доход, облагается повторно</t>
  </si>
  <si>
    <t xml:space="preserve">ЧИСТЫЙ ДОХОД ОРГАНИЗАТОРА ОТ БИЛЕТОВ</t>
  </si>
  <si>
    <t xml:space="preserve">ДОПОЛНИТЕЛЬНЫЕ ДОХОДЫ И ИТОГ</t>
  </si>
  <si>
    <t xml:space="preserve">Доп. доходы, остающиеся у организатора</t>
  </si>
  <si>
    <t xml:space="preserve">Налоги и комиссии с доп. доходов (8%)</t>
  </si>
  <si>
    <t xml:space="preserve">ИТОГО ЧИСТЫЙ ДОХОД ОРГАНИЗАТОРА</t>
  </si>
  <si>
    <t xml:space="preserve">КЛЮЧЕВЫЕ МЕТРИКИ И ТОЧКА БЕЗУБЫТОЧНОСТИ</t>
  </si>
  <si>
    <t xml:space="preserve">Маржинальный доход с одного платного билета, ₽</t>
  </si>
  <si>
    <t xml:space="preserve">Сколько остаётся с билета до постоянных расходов. Это «скорость», с которой окупается смета</t>
  </si>
  <si>
    <t xml:space="preserve">Сколько платных билетов надо продать, чтобы выйти в ноль до раздела прибыли</t>
  </si>
  <si>
    <t xml:space="preserve">Точка безубыточности, % заполнения зала</t>
  </si>
  <si>
    <t xml:space="preserve">Запас прочности (насколько план выше нуля), %</t>
  </si>
  <si>
    <t xml:space="preserve">Меньше 15% — проект висит на волоске: одна отмена промо и вы в минусе</t>
  </si>
  <si>
    <t xml:space="preserve">Рентабельность к валовому сбору, %</t>
  </si>
  <si>
    <t xml:space="preserve">Чистый доход на один проданный билет, ₽</t>
  </si>
  <si>
    <t xml:space="preserve">Справочно: рыночная стоимость услуг площадки, ₽</t>
  </si>
  <si>
    <t xml:space="preserve">Сравните с долей площадки в прибыли — это база для торга о проценте</t>
  </si>
  <si>
    <t xml:space="preserve">ВЕРДИКТ ПО ПРОЕКТУ</t>
  </si>
  <si>
    <t xml:space="preserve">СЦЕНАРИИ: ОТ ПРОВАЛА ДО АНШЛАГА</t>
  </si>
  <si>
    <t xml:space="preserve">Структура цен и смета во всех сценариях одинаковые — меняется только заполняемость зала. Последний столбец показывает, где проходит граница нуля.</t>
  </si>
  <si>
    <t xml:space="preserve">БАЗОВЫЙ</t>
  </si>
  <si>
    <t xml:space="preserve">Точка безубыточности</t>
  </si>
  <si>
    <t xml:space="preserve">Заполняемость зала, %</t>
  </si>
  <si>
    <t xml:space="preserve">Пессимистичный и оптимистичный задаются на листе «Вводные»</t>
  </si>
  <si>
    <t xml:space="preserve">ВАЛОВОЙ СБОР</t>
  </si>
  <si>
    <t xml:space="preserve">   − комиссия билетного оператора</t>
  </si>
  <si>
    <t xml:space="preserve">   − отчисления в РАО</t>
  </si>
  <si>
    <t xml:space="preserve">   − УСН 6% с валового сбора</t>
  </si>
  <si>
    <t xml:space="preserve">   − постоянные расходы (смета)</t>
  </si>
  <si>
    <t xml:space="preserve">   − переменные расходы на гостей</t>
  </si>
  <si>
    <t xml:space="preserve">   + доп. доходы, участвующие в разделе</t>
  </si>
  <si>
    <t xml:space="preserve">Именно эта строка делится с площадкой пополам</t>
  </si>
  <si>
    <t xml:space="preserve">   доля площадки</t>
  </si>
  <si>
    <t xml:space="preserve">При убытке площадка не участвует, если в договоре не сказано иное</t>
  </si>
  <si>
    <t xml:space="preserve">   доля организатора (выплата по договору)</t>
  </si>
  <si>
    <t xml:space="preserve">   − налог и комиссии с выплаты (8%)</t>
  </si>
  <si>
    <t xml:space="preserve">Чистый доход от билетов</t>
  </si>
  <si>
    <t xml:space="preserve">   + доп. доходы вне раздела (за вычетом 8%)</t>
  </si>
  <si>
    <t xml:space="preserve">Деньги, которые реально останутся у вас после всех налогов</t>
  </si>
  <si>
    <t xml:space="preserve">Отклонение от базового сценария, ₽</t>
  </si>
  <si>
    <t xml:space="preserve">Цена риска: разброс между сценариями</t>
  </si>
  <si>
    <t xml:space="preserve">ЧУВСТВИТЕЛЬНОСТЬ: ЦЕНА ПРОТИВ ЗАПОЛНЯЕМОСТИ</t>
  </si>
  <si>
    <t xml:space="preserve">Что будет с вашим чистым доходом при разной средней цене билета и разной заполняемости зала. Зелёное — прибыль, красное — убыток.</t>
  </si>
  <si>
    <t xml:space="preserve">ПРИБЫЛЬ К РАЗДЕЛУ С ПЛОЩАДКОЙ (до сплита и налога уровня 2), ₽</t>
  </si>
  <si>
    <t xml:space="preserve">Заполняемость \ Средняя цена</t>
  </si>
  <si>
    <t xml:space="preserve">ИТОГО чистый доход организатора после раздела и всех налогов, ₽</t>
  </si>
  <si>
    <t xml:space="preserve">Точка безубыточности при разной средней цене билета</t>
  </si>
  <si>
    <t xml:space="preserve">Средняя цена, ₽</t>
  </si>
  <si>
    <t xml:space="preserve">Нужно продать платных билетов, шт</t>
  </si>
  <si>
    <t xml:space="preserve">Это заполняемость зала, %</t>
  </si>
  <si>
    <t xml:space="preserve">ВАРИАНТЫ УЛУЧШЕНИЯ ЭКОНОМИКИ</t>
  </si>
  <si>
    <t xml:space="preserve">Каждый вариант привязан к конкретной ячейке модели — можно проверить эффект прямо в файле. Оценки эффекта ориентировочные, для клубного концерта на 300 мест.</t>
  </si>
  <si>
    <t xml:space="preserve">№</t>
  </si>
  <si>
    <t xml:space="preserve">Направление</t>
  </si>
  <si>
    <t xml:space="preserve">Что конкретно сделать</t>
  </si>
  <si>
    <t xml:space="preserve">Где в модели</t>
  </si>
  <si>
    <t xml:space="preserve">Оценка эффекта</t>
  </si>
  <si>
    <t xml:space="preserve">Что учесть / риск</t>
  </si>
  <si>
    <t xml:space="preserve">Цена</t>
  </si>
  <si>
    <t xml:space="preserve">Волновое ценообразование: early bird → предпродажа → цена на входе. Ранняя квота даёт деньги на маркетинг ещё до концерта.</t>
  </si>
  <si>
    <t xml:space="preserve">Лист «Билеты», категории 1–3</t>
  </si>
  <si>
    <t xml:space="preserve">+5–10% к сбору</t>
  </si>
  <si>
    <t xml:space="preserve">Уже заложено в модель. Не делайте разрыв больше 40% — обесценивает раннюю цену</t>
  </si>
  <si>
    <t xml:space="preserve">Поднять цену фан-зоны и вложить в неё мерч и ранний вход. Люди платят за статус, а не за метры.</t>
  </si>
  <si>
    <t xml:space="preserve">Лист «Билеты», строка «Фан-зона / VIP»</t>
  </si>
  <si>
    <t xml:space="preserve">+3–7% к сбору</t>
  </si>
  <si>
    <t xml:space="preserve">Квота VIP выше 15% зала обычно не продаётся</t>
  </si>
  <si>
    <t xml:space="preserve">Пакеты: «билет + футболка», «два билета со скидкой 10%». Растёт средний чек и конверсия.</t>
  </si>
  <si>
    <t xml:space="preserve">Лист «Билеты», доп. категория</t>
  </si>
  <si>
    <t xml:space="preserve">+5% к сбору</t>
  </si>
  <si>
    <t xml:space="preserve">Нужен учёт себестоимости мерча в смете</t>
  </si>
  <si>
    <t xml:space="preserve">Сделка</t>
  </si>
  <si>
    <t xml:space="preserve">Пересмотреть долю: показать площадке рыночную стоимость её услуг и сравнить с половиной прибыли.</t>
  </si>
  <si>
    <t xml:space="preserve">Расходы: «Рыночная стоимость услуг площадки»</t>
  </si>
  <si>
    <t xml:space="preserve">±10 п.п. доли</t>
  </si>
  <si>
    <t xml:space="preserve">Сильнее всего работает, если вы приводите свою аудиторию</t>
  </si>
  <si>
    <t xml:space="preserve">Прописать в договоре раздел убытка, а не только прибыли. Сейчас риск асимметричен.</t>
  </si>
  <si>
    <t xml:space="preserve">Вводные: «Убыток делится с площадкой»</t>
  </si>
  <si>
    <t xml:space="preserve">Снижает риск вдвое</t>
  </si>
  <si>
    <t xml:space="preserve">Площадки соглашаются редко — но просить нужно всегда</t>
  </si>
  <si>
    <t xml:space="preserve">Договориться о доле от выручки бара. Ваша публика приносит площадке бар, а вы этого не видите.</t>
  </si>
  <si>
    <t xml:space="preserve">Билеты: «Доля от выручки бара»</t>
  </si>
  <si>
    <t xml:space="preserve">+20–60 тыс ₽</t>
  </si>
  <si>
    <t xml:space="preserve">Просите фиксированный процент и доступ к отчёту по кассе</t>
  </si>
  <si>
    <t xml:space="preserve">Налоги</t>
  </si>
  <si>
    <t xml:space="preserve">Убрать второй уровень налога: оформить отношения так, чтобы вашим доходом была сразу ваша доля, а не выплата от площадки.</t>
  </si>
  <si>
    <t xml:space="preserve">Вводные: «Уровень 2»</t>
  </si>
  <si>
    <t xml:space="preserve">До 8% от вашей доли</t>
  </si>
  <si>
    <t xml:space="preserve">ОБЯЗАТЕЛЬНО обсудить с бухгалтером — схема зависит от формы договора</t>
  </si>
  <si>
    <t xml:space="preserve">Проверить, что попадает в базу УСН при агентской продаже билетов: по агентскому договору доходом может признаваться вся сумма от покупателей, включая удержанную комиссию.</t>
  </si>
  <si>
    <t xml:space="preserve">Вводные: «УСН», лист «Экономика»</t>
  </si>
  <si>
    <t xml:space="preserve">До 1–2% от сбора</t>
  </si>
  <si>
    <t xml:space="preserve">Частая и дорогая ошибка. Уточните формулировки в договоре с оператором</t>
  </si>
  <si>
    <t xml:space="preserve">РАО</t>
  </si>
  <si>
    <t xml:space="preserve">Декларировать точный репертуар: собственные произведения возвращаются автору через РАО, произведения в общественном достоянии не облагаются.</t>
  </si>
  <si>
    <t xml:space="preserve">Вводные: «Отчисления в РАО»</t>
  </si>
  <si>
    <t xml:space="preserve">До 5% от сбора</t>
  </si>
  <si>
    <t xml:space="preserve">Нужна корректная рапортичка. Не платить вообще — нельзя</t>
  </si>
  <si>
    <t xml:space="preserve">Билеты</t>
  </si>
  <si>
    <t xml:space="preserve">Перевести сервисный сбор на покупателя (схема 1) или продавать часть билетов напрямую через свою страницу.</t>
  </si>
  <si>
    <t xml:space="preserve">Вводные: «Схема сервисного сбора», «Доля продаж на входе»</t>
  </si>
  <si>
    <t xml:space="preserve">+3–8% к сбору</t>
  </si>
  <si>
    <t xml:space="preserve">Схема 1 повышает итоговую цену для зрителя и может просадить конверсию</t>
  </si>
  <si>
    <t xml:space="preserve">Маркетинг</t>
  </si>
  <si>
    <t xml:space="preserve">Перераспределить бюджет в каналы с низким CPA: собственная база и Telegram обычно дешевле таргета в разы.</t>
  </si>
  <si>
    <t xml:space="preserve">Лист «Маркетинг», столбцы «Бюджет» и «CPA»</t>
  </si>
  <si>
    <t xml:space="preserve">−20–30% бюджета</t>
  </si>
  <si>
    <t xml:space="preserve">Требует заранее собранной базы. Начинайте собирать на этом концерте</t>
  </si>
  <si>
    <t xml:space="preserve">Кросс-промо: обмен рассылками и сторис с площадками и артистами смежной аудитории вместо платного охвата.</t>
  </si>
  <si>
    <t xml:space="preserve">Лист «Маркетинг», новая строка с бюджетом 0</t>
  </si>
  <si>
    <t xml:space="preserve">−10–15 тыс ₽</t>
  </si>
  <si>
    <t xml:space="preserve">Договариваться нужно за 4–6 недель</t>
  </si>
  <si>
    <t xml:space="preserve">Реферальные промокоды: скидка тому, кто привёл, и тому, кого привели. Считается по коду, а не по ощущениям.</t>
  </si>
  <si>
    <t xml:space="preserve">Лист «Маркетинг», новая строка</t>
  </si>
  <si>
    <t xml:space="preserve">+5–10% продаж</t>
  </si>
  <si>
    <t xml:space="preserve">Скидка уменьшает среднюю цену — заведите отдельную категорию билета</t>
  </si>
  <si>
    <t xml:space="preserve">Доходы</t>
  </si>
  <si>
    <t xml:space="preserve">Спонсорский или партнёрский пакет: логотип, стенд, семплинг, упоминания. Для клуба на 300 мест это 50–150 тыс ₽.</t>
  </si>
  <si>
    <t xml:space="preserve">Билеты: «Спонсорский пакет»</t>
  </si>
  <si>
    <t xml:space="preserve">+50–150 тыс ₽</t>
  </si>
  <si>
    <t xml:space="preserve">Самый недооценённый источник. Нужна презентация и охваты за 2 месяца</t>
  </si>
  <si>
    <t xml:space="preserve">Мерч на предзаказ до концерта: печать по факту заказов, без остатков и замороженных денег.</t>
  </si>
  <si>
    <t xml:space="preserve">Билеты: «Мерч»</t>
  </si>
  <si>
    <t xml:space="preserve">+20–40 тыс ₽</t>
  </si>
  <si>
    <t xml:space="preserve">Срок печати 10–14 дней — закрывать предзаказ заранее</t>
  </si>
  <si>
    <t xml:space="preserve">Снять концерт на 2 камеры и выпустить релиз или стрим. Материал работает и как промо следующего события.</t>
  </si>
  <si>
    <t xml:space="preserve">Билеты: «Съёмка концерта»</t>
  </si>
  <si>
    <t xml:space="preserve">Отложенный доход</t>
  </si>
  <si>
    <t xml:space="preserve">Права на запись нужно закрыть в договорах с музыкантами</t>
  </si>
  <si>
    <t xml:space="preserve">Риск</t>
  </si>
  <si>
    <t xml:space="preserve">Предпродажа с порогом: анонсировать, но подтверждать концерт только при N проданных билетов.</t>
  </si>
  <si>
    <t xml:space="preserve">Экономика: «Точка безубыточности»</t>
  </si>
  <si>
    <t xml:space="preserve">Убирает риск убытка</t>
  </si>
  <si>
    <t xml:space="preserve">Требует честной коммуникации и возможности вернуть деньги</t>
  </si>
  <si>
    <t xml:space="preserve">Страхование отмены при бюджете свыше 500 тыс ₽.</t>
  </si>
  <si>
    <t xml:space="preserve">Расходы: «Страхование мероприятия»</t>
  </si>
  <si>
    <t xml:space="preserve">Стоит 1–3% бюджета</t>
  </si>
  <si>
    <t xml:space="preserve">Читайте исключения: болезнь артиста покрывается не всегда</t>
  </si>
  <si>
    <t xml:space="preserve">Свести график платежей: предоплаты за аренду, технику и рекламу уходят до того, как придут деньги за билеты.</t>
  </si>
  <si>
    <t xml:space="preserve">Нужен отдельный лист платёжного календаря</t>
  </si>
  <si>
    <t xml:space="preserve">Убирает кассовый разрыв</t>
  </si>
  <si>
    <t xml:space="preserve">Скажите — добавлю платёжный календарь по неделям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</si>
</sst>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&quot; ₽&quot;;[RED]\(#,##0&quot; ₽)&quot;;\—"/>
    <numFmt numFmtId="166" formatCode="#,##0;[RED]\(#,##0\);\—"/>
    <numFmt numFmtId="167" formatCode="0.0%"/>
    <numFmt numFmtId="168" formatCode="0.00%"/>
  </numFmts>
  <fonts count="3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FFFFF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9"/>
      <color rgb="FF44546A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color rgb="FF808080"/>
      <name val="Arial"/>
      <family val="0"/>
      <charset val="1"/>
    </font>
    <font>
      <sz val="9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name val="Arial"/>
      <family val="2"/>
    </font>
    <font>
      <sz val="10"/>
      <color rgb="FF008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color rgb="FF808080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9"/>
      <color rgb="FF80808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3"/>
      <name val="Arial"/>
      <family val="0"/>
      <charset val="1"/>
    </font>
    <font>
      <b val="true"/>
      <sz val="13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00800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E2EFDA"/>
      </patternFill>
    </fill>
    <fill>
      <patternFill patternType="solid">
        <fgColor rgb="FFF7F9FC"/>
        <bgColor rgb="FFFFFFFF"/>
      </patternFill>
    </fill>
    <fill>
      <patternFill patternType="solid">
        <fgColor rgb="FFFCE4D6"/>
        <bgColor rgb="FFFFF2CC"/>
      </patternFill>
    </fill>
    <fill>
      <patternFill patternType="solid">
        <fgColor rgb="FF4472C4"/>
        <bgColor rgb="FF44546A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D9E2F3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1F3864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medium">
        <color rgb="FF1F3864"/>
      </top>
      <bottom style="medium">
        <color rgb="FF1F3864"/>
      </bottom>
      <diagonal/>
    </border>
    <border diagonalUp="false" diagonalDown="false">
      <left style="medium">
        <color rgb="FF1F3864"/>
      </left>
      <right style="medium">
        <color rgb="FF1F3864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0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0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5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2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0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6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13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7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7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7" fontId="18" fillId="8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8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8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8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8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8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7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8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8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8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4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2" fillId="8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5" fillId="8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8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7" fontId="2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1" fillId="8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6" fillId="8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8" fillId="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5" fillId="5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2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8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5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9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9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30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4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4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4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30" fillId="4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4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4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b val="1"/>
        <color rgb="FF9C0006"/>
      </font>
      <fill>
        <patternFill>
          <bgColor rgb="FFFFC7CE"/>
        </patternFill>
      </fill>
    </dxf>
    <dxf>
      <font>
        <b val="1"/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7F9FC"/>
      <rgbColor rgb="FFC6EFCE"/>
      <rgbColor rgb="FFFCE4D6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44546A"/>
      <rgbColor rgb="FF969696"/>
      <rgbColor rgb="FF1F3864"/>
      <rgbColor rgb="FF339966"/>
      <rgbColor rgb="FF0061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3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0"/>
    <col collapsed="false" customWidth="true" hidden="false" outlineLevel="0" max="3" min="3" style="0" width="22"/>
    <col collapsed="false" customWidth="true" hidden="false" outlineLevel="0" max="4" min="4" style="0" width="4"/>
    <col collapsed="false" customWidth="true" hidden="false" outlineLevel="0" max="5" min="5" style="0" width="40"/>
    <col collapsed="false" customWidth="true" hidden="false" outlineLevel="0" max="6" min="6" style="0" width="22"/>
  </cols>
  <sheetData>
    <row r="1" customFormat="false" ht="30" hidden="false" customHeight="true" outlineLevel="0" collapsed="false">
      <c r="A1" s="1" t="s">
        <v>0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1</v>
      </c>
      <c r="B2" s="4"/>
      <c r="C2" s="4"/>
      <c r="D2" s="4"/>
      <c r="E2" s="4"/>
      <c r="F2" s="4"/>
    </row>
    <row r="3" customFormat="false" ht="15" hidden="false" customHeight="false" outlineLevel="0" collapsed="false">
      <c r="A3" s="4"/>
      <c r="B3" s="4"/>
      <c r="C3" s="4"/>
      <c r="D3" s="4"/>
      <c r="E3" s="4"/>
      <c r="F3" s="4"/>
    </row>
    <row r="4" customFormat="false" ht="15" hidden="false" customHeight="false" outlineLevel="0" collapsed="false">
      <c r="A4" s="4"/>
      <c r="B4" s="5" t="s">
        <v>2</v>
      </c>
      <c r="C4" s="6" t="str">
        <f aca="false">Вводные!$B$5</f>
        <v>— укажите название —</v>
      </c>
      <c r="D4" s="4"/>
      <c r="E4" s="5" t="s">
        <v>3</v>
      </c>
      <c r="F4" s="7" t="str">
        <f aca="false">Вводные!$B$7&amp;" · "&amp;Вводные!$B$8</f>
        <v>— ДД.ММ.ГГГГ, 20:00 — · — клуб —</v>
      </c>
    </row>
    <row r="5" customFormat="false" ht="15" hidden="false" customHeight="false" outlineLevel="0" collapsed="false">
      <c r="A5" s="4"/>
      <c r="B5" s="4"/>
      <c r="C5" s="4"/>
      <c r="D5" s="4"/>
      <c r="E5" s="4"/>
      <c r="F5" s="4"/>
    </row>
    <row r="6" customFormat="false" ht="19.5" hidden="false" customHeight="true" outlineLevel="0" collapsed="false">
      <c r="A6" s="8" t="s">
        <v>4</v>
      </c>
      <c r="B6" s="9"/>
      <c r="C6" s="9"/>
      <c r="D6" s="9"/>
      <c r="E6" s="9"/>
      <c r="F6" s="9"/>
    </row>
    <row r="7" customFormat="false" ht="19.5" hidden="false" customHeight="true" outlineLevel="0" collapsed="false">
      <c r="A7" s="4"/>
      <c r="B7" s="10" t="s">
        <v>5</v>
      </c>
      <c r="C7" s="11" t="n">
        <f aca="false">Экономика!$B$9</f>
        <v>466100</v>
      </c>
      <c r="D7" s="4"/>
      <c r="E7" s="10" t="s">
        <v>6</v>
      </c>
      <c r="F7" s="12" t="n">
        <f aca="false">Экономика!$B$6</f>
        <v>202</v>
      </c>
    </row>
    <row r="8" customFormat="false" ht="19.5" hidden="false" customHeight="true" outlineLevel="0" collapsed="false">
      <c r="A8" s="4"/>
      <c r="B8" s="10" t="s">
        <v>7</v>
      </c>
      <c r="C8" s="11" t="n">
        <f aca="false">Экономика!$B$26</f>
        <v>356420</v>
      </c>
      <c r="D8" s="4"/>
      <c r="E8" s="10" t="s">
        <v>8</v>
      </c>
      <c r="F8" s="11" t="n">
        <f aca="false">Экономика!$B$8</f>
        <v>2427.60416666667</v>
      </c>
    </row>
    <row r="9" customFormat="false" ht="19.5" hidden="false" customHeight="true" outlineLevel="0" collapsed="false">
      <c r="A9" s="4"/>
      <c r="B9" s="10" t="s">
        <v>9</v>
      </c>
      <c r="C9" s="11" t="n">
        <f aca="false">Экономика!$B$15-Экономика!$B$32-Экономика!$B$36</f>
        <v>96281.12</v>
      </c>
      <c r="D9" s="4"/>
      <c r="E9" s="10" t="s">
        <v>10</v>
      </c>
      <c r="F9" s="11" t="n">
        <f aca="false">Билеты!$E$32</f>
        <v>58000</v>
      </c>
    </row>
    <row r="10" customFormat="false" ht="24" hidden="false" customHeight="true" outlineLevel="0" collapsed="false">
      <c r="A10" s="4"/>
      <c r="B10" s="13" t="s">
        <v>11</v>
      </c>
      <c r="C10" s="14" t="n">
        <f aca="false">Экономика!$B$29</f>
        <v>18790.5</v>
      </c>
      <c r="D10" s="4"/>
      <c r="E10" s="13" t="s">
        <v>12</v>
      </c>
      <c r="F10" s="14" t="n">
        <f aca="false">Экономика!$B$37</f>
        <v>62003.63</v>
      </c>
    </row>
    <row r="11" customFormat="false" ht="15" hidden="false" customHeight="false" outlineLevel="0" collapsed="false">
      <c r="A11" s="4"/>
      <c r="B11" s="4"/>
      <c r="C11" s="4"/>
      <c r="D11" s="4"/>
      <c r="E11" s="4"/>
      <c r="F11" s="4"/>
    </row>
    <row r="12" customFormat="false" ht="19.5" hidden="false" customHeight="true" outlineLevel="0" collapsed="false">
      <c r="A12" s="8" t="s">
        <v>13</v>
      </c>
      <c r="B12" s="9"/>
      <c r="C12" s="9"/>
      <c r="D12" s="9"/>
      <c r="E12" s="9"/>
      <c r="F12" s="9"/>
    </row>
    <row r="13" customFormat="false" ht="19.5" hidden="false" customHeight="true" outlineLevel="0" collapsed="false">
      <c r="A13" s="4"/>
      <c r="B13" s="10" t="s">
        <v>14</v>
      </c>
      <c r="C13" s="12" t="n">
        <f aca="false">Экономика!$B$41</f>
        <v>183</v>
      </c>
      <c r="D13" s="4"/>
      <c r="E13" s="10" t="s">
        <v>15</v>
      </c>
      <c r="F13" s="15" t="n">
        <f aca="false">Экономика!$B$42</f>
        <v>0.641770833333333</v>
      </c>
    </row>
    <row r="14" customFormat="false" ht="19.5" hidden="false" customHeight="true" outlineLevel="0" collapsed="false">
      <c r="A14" s="4"/>
      <c r="B14" s="10" t="s">
        <v>16</v>
      </c>
      <c r="C14" s="15" t="n">
        <f aca="false">Экономика!$B$43</f>
        <v>0.046875</v>
      </c>
      <c r="D14" s="4"/>
      <c r="E14" s="10" t="s">
        <v>17</v>
      </c>
      <c r="F14" s="15" t="n">
        <f aca="false">Экономика!$B$44</f>
        <v>0.13302645355074</v>
      </c>
    </row>
    <row r="15" customFormat="false" ht="19.5" hidden="false" customHeight="true" outlineLevel="0" collapsed="false">
      <c r="A15" s="4"/>
      <c r="B15" s="10" t="s">
        <v>18</v>
      </c>
      <c r="C15" s="11" t="n">
        <f aca="false">Экономика!$B$40</f>
        <v>1891.09635416667</v>
      </c>
      <c r="D15" s="4"/>
      <c r="E15" s="10" t="s">
        <v>19</v>
      </c>
      <c r="F15" s="11" t="n">
        <f aca="false">Экономика!$B$45</f>
        <v>306.948663366337</v>
      </c>
    </row>
    <row r="16" customFormat="false" ht="15" hidden="false" customHeight="false" outlineLevel="0" collapsed="false">
      <c r="A16" s="4"/>
      <c r="B16" s="4"/>
      <c r="C16" s="4"/>
      <c r="D16" s="4"/>
      <c r="E16" s="4"/>
      <c r="F16" s="4"/>
    </row>
    <row r="17" customFormat="false" ht="24" hidden="false" customHeight="true" outlineLevel="0" collapsed="false">
      <c r="A17" s="4"/>
      <c r="B17" s="16" t="s">
        <v>20</v>
      </c>
      <c r="C17" s="17" t="str">
        <f aca="false">Экономика!$B$47</f>
        <v>НА ГРАНИ. Запас прочности меньше 15% — риск высокий</v>
      </c>
      <c r="D17" s="17"/>
      <c r="E17" s="17"/>
      <c r="F17" s="17"/>
    </row>
    <row r="18" customFormat="false" ht="15" hidden="false" customHeight="false" outlineLevel="0" collapsed="false">
      <c r="A18" s="4"/>
      <c r="B18" s="4"/>
      <c r="C18" s="4"/>
      <c r="D18" s="4"/>
      <c r="E18" s="4"/>
      <c r="F18" s="4"/>
    </row>
    <row r="19" customFormat="false" ht="19.5" hidden="false" customHeight="true" outlineLevel="0" collapsed="false">
      <c r="A19" s="8" t="s">
        <v>21</v>
      </c>
      <c r="B19" s="9"/>
      <c r="C19" s="9"/>
      <c r="D19" s="9"/>
      <c r="E19" s="9"/>
      <c r="F19" s="9"/>
    </row>
    <row r="20" customFormat="false" ht="43.25" hidden="false" customHeight="false" outlineLevel="0" collapsed="false">
      <c r="A20" s="4"/>
      <c r="B20" s="18" t="s">
        <v>22</v>
      </c>
      <c r="C20" s="18" t="s">
        <v>23</v>
      </c>
      <c r="D20" s="18" t="s">
        <v>24</v>
      </c>
      <c r="E20" s="18" t="s">
        <v>25</v>
      </c>
      <c r="F20" s="4"/>
    </row>
    <row r="21" customFormat="false" ht="15" hidden="false" customHeight="false" outlineLevel="0" collapsed="false">
      <c r="A21" s="4"/>
      <c r="B21" s="19" t="n">
        <f aca="false">Сценарии!B23</f>
        <v>-75358.765625</v>
      </c>
      <c r="C21" s="19" t="n">
        <f aca="false">Сценарии!C23</f>
        <v>62003.63</v>
      </c>
      <c r="D21" s="19" t="n">
        <f aca="false">Сценарии!D23</f>
        <v>118558.048489583</v>
      </c>
      <c r="E21" s="19" t="n">
        <f aca="false">Сценарии!E23</f>
        <v>142900.41953125</v>
      </c>
      <c r="F21" s="4"/>
    </row>
    <row r="22" customFormat="false" ht="15" hidden="false" customHeight="false" outlineLevel="0" collapsed="false">
      <c r="A22" s="4"/>
      <c r="B22" s="20" t="n">
        <f aca="false">Сценарии!B5</f>
        <v>0.4</v>
      </c>
      <c r="C22" s="20" t="n">
        <f aca="false">Сценарии!C5</f>
        <v>0.673333333333333</v>
      </c>
      <c r="D22" s="20" t="n">
        <f aca="false">Сценарии!D5</f>
        <v>0.9</v>
      </c>
      <c r="E22" s="20" t="n">
        <f aca="false">Сценарии!E5</f>
        <v>1</v>
      </c>
      <c r="F22" s="3" t="s">
        <v>26</v>
      </c>
    </row>
    <row r="23" customFormat="false" ht="15" hidden="false" customHeight="false" outlineLevel="0" collapsed="false">
      <c r="A23" s="4"/>
      <c r="B23" s="4"/>
      <c r="C23" s="4"/>
      <c r="D23" s="4"/>
      <c r="E23" s="4"/>
      <c r="F23" s="4"/>
    </row>
    <row r="24" customFormat="false" ht="19.5" hidden="false" customHeight="true" outlineLevel="0" collapsed="false">
      <c r="A24" s="8" t="s">
        <v>27</v>
      </c>
      <c r="B24" s="9"/>
      <c r="C24" s="9"/>
      <c r="D24" s="9"/>
      <c r="E24" s="9"/>
      <c r="F24" s="9"/>
    </row>
    <row r="25" customFormat="false" ht="25.5" hidden="false" customHeight="true" outlineLevel="0" collapsed="false">
      <c r="A25" s="4"/>
      <c r="B25" s="21" t="s">
        <v>28</v>
      </c>
      <c r="C25" s="21"/>
      <c r="D25" s="21"/>
      <c r="E25" s="21"/>
      <c r="F25" s="21"/>
    </row>
    <row r="26" customFormat="false" ht="25.5" hidden="false" customHeight="true" outlineLevel="0" collapsed="false">
      <c r="A26" s="4"/>
      <c r="B26" s="21" t="s">
        <v>29</v>
      </c>
      <c r="C26" s="21"/>
      <c r="D26" s="21"/>
      <c r="E26" s="21"/>
      <c r="F26" s="21"/>
    </row>
    <row r="27" customFormat="false" ht="25.5" hidden="false" customHeight="true" outlineLevel="0" collapsed="false">
      <c r="A27" s="4"/>
      <c r="B27" s="21" t="s">
        <v>30</v>
      </c>
      <c r="C27" s="21"/>
      <c r="D27" s="21"/>
      <c r="E27" s="21"/>
      <c r="F27" s="21"/>
    </row>
    <row r="28" customFormat="false" ht="25.5" hidden="false" customHeight="true" outlineLevel="0" collapsed="false">
      <c r="A28" s="4"/>
      <c r="B28" s="21" t="s">
        <v>31</v>
      </c>
      <c r="C28" s="21"/>
      <c r="D28" s="21"/>
      <c r="E28" s="21"/>
      <c r="F28" s="21"/>
    </row>
    <row r="29" customFormat="false" ht="25.5" hidden="false" customHeight="true" outlineLevel="0" collapsed="false">
      <c r="A29" s="4"/>
      <c r="B29" s="21" t="s">
        <v>32</v>
      </c>
      <c r="C29" s="21"/>
      <c r="D29" s="21"/>
      <c r="E29" s="21"/>
      <c r="F29" s="21"/>
    </row>
    <row r="30" customFormat="false" ht="25.5" hidden="false" customHeight="true" outlineLevel="0" collapsed="false">
      <c r="A30" s="4"/>
      <c r="B30" s="21" t="s">
        <v>33</v>
      </c>
      <c r="C30" s="21"/>
      <c r="D30" s="21"/>
      <c r="E30" s="21"/>
      <c r="F30" s="21"/>
    </row>
    <row r="31" customFormat="false" ht="25.5" hidden="false" customHeight="true" outlineLevel="0" collapsed="false">
      <c r="A31" s="4"/>
      <c r="B31" s="21" t="s">
        <v>34</v>
      </c>
      <c r="C31" s="21"/>
      <c r="D31" s="21"/>
      <c r="E31" s="21"/>
      <c r="F31" s="21"/>
    </row>
    <row r="32" customFormat="false" ht="25.5" hidden="false" customHeight="true" outlineLevel="0" collapsed="false">
      <c r="A32" s="4"/>
      <c r="B32" s="21" t="s">
        <v>35</v>
      </c>
      <c r="C32" s="21"/>
      <c r="D32" s="21"/>
      <c r="E32" s="21"/>
      <c r="F32" s="21"/>
    </row>
  </sheetData>
  <mergeCells count="9">
    <mergeCell ref="C17:F17"/>
    <mergeCell ref="B25:F25"/>
    <mergeCell ref="B26:F26"/>
    <mergeCell ref="B27:F27"/>
    <mergeCell ref="B28:F28"/>
    <mergeCell ref="B29:F29"/>
    <mergeCell ref="B30:F30"/>
    <mergeCell ref="B31:F31"/>
    <mergeCell ref="B32:F32"/>
  </mergeCells>
  <conditionalFormatting sqref="C17">
    <cfRule type="expression" priority="2" aboveAverage="0" equalAverage="0" bottom="0" percent="0" rank="0" text="" dxfId="0">
      <formula>LEFT($C$17,6)="УБЫТОК"</formula>
    </cfRule>
    <cfRule type="expression" priority="3" aboveAverage="0" equalAverage="0" bottom="0" percent="0" rank="0" text="" dxfId="1">
      <formula>LEFT($C$17,7)="ЗДОРОВО"</formula>
    </cfRule>
  </conditionalFormatting>
  <conditionalFormatting sqref="B21:E21">
    <cfRule type="cellIs" priority="4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8"/>
    <col collapsed="false" customWidth="true" hidden="false" outlineLevel="0" max="3" min="3" style="0" width="64"/>
  </cols>
  <sheetData>
    <row r="1" customFormat="false" ht="30" hidden="false" customHeight="true" outlineLevel="0" collapsed="false">
      <c r="A1" s="1" t="s">
        <v>36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3" t="s">
        <v>37</v>
      </c>
      <c r="B2" s="4"/>
      <c r="C2" s="4"/>
      <c r="D2" s="4"/>
      <c r="E2" s="4"/>
      <c r="F2" s="4"/>
      <c r="G2" s="4"/>
      <c r="H2" s="4"/>
    </row>
    <row r="3" customFormat="false" ht="15" hidden="false" customHeight="false" outlineLevel="0" collapsed="false">
      <c r="A3" s="4"/>
      <c r="B3" s="4"/>
      <c r="C3" s="4"/>
      <c r="D3" s="4"/>
      <c r="E3" s="4"/>
      <c r="F3" s="4"/>
      <c r="G3" s="4"/>
      <c r="H3" s="4"/>
    </row>
    <row r="4" customFormat="false" ht="19.5" hidden="false" customHeight="true" outlineLevel="0" collapsed="false">
      <c r="A4" s="8" t="s">
        <v>38</v>
      </c>
      <c r="B4" s="9"/>
      <c r="C4" s="9"/>
      <c r="D4" s="9"/>
      <c r="E4" s="9"/>
      <c r="F4" s="9"/>
      <c r="G4" s="9"/>
      <c r="H4" s="9"/>
    </row>
    <row r="5" customFormat="false" ht="15" hidden="false" customHeight="false" outlineLevel="0" collapsed="false">
      <c r="A5" s="7" t="s">
        <v>39</v>
      </c>
      <c r="B5" s="22" t="s">
        <v>40</v>
      </c>
      <c r="C5" s="4"/>
      <c r="D5" s="4"/>
      <c r="E5" s="4"/>
      <c r="F5" s="4"/>
      <c r="G5" s="4"/>
      <c r="H5" s="4"/>
    </row>
    <row r="6" customFormat="false" ht="15" hidden="false" customHeight="false" outlineLevel="0" collapsed="false">
      <c r="A6" s="7" t="s">
        <v>41</v>
      </c>
      <c r="B6" s="22" t="s">
        <v>42</v>
      </c>
      <c r="C6" s="4"/>
      <c r="D6" s="4"/>
      <c r="E6" s="4"/>
      <c r="F6" s="4"/>
      <c r="G6" s="4"/>
      <c r="H6" s="4"/>
    </row>
    <row r="7" customFormat="false" ht="15" hidden="false" customHeight="false" outlineLevel="0" collapsed="false">
      <c r="A7" s="7" t="s">
        <v>43</v>
      </c>
      <c r="B7" s="22" t="s">
        <v>44</v>
      </c>
      <c r="C7" s="4"/>
      <c r="D7" s="4"/>
      <c r="E7" s="4"/>
      <c r="F7" s="4"/>
      <c r="G7" s="4"/>
      <c r="H7" s="4"/>
    </row>
    <row r="8" customFormat="false" ht="15" hidden="false" customHeight="false" outlineLevel="0" collapsed="false">
      <c r="A8" s="7" t="s">
        <v>45</v>
      </c>
      <c r="B8" s="22" t="s">
        <v>46</v>
      </c>
      <c r="C8" s="4"/>
      <c r="D8" s="4"/>
      <c r="E8" s="4"/>
      <c r="F8" s="4"/>
      <c r="G8" s="4"/>
      <c r="H8" s="4"/>
    </row>
    <row r="9" customFormat="false" ht="15" hidden="false" customHeight="false" outlineLevel="0" collapsed="false">
      <c r="A9" s="7" t="s">
        <v>47</v>
      </c>
      <c r="B9" s="22" t="s">
        <v>48</v>
      </c>
      <c r="C9" s="4"/>
      <c r="D9" s="4"/>
      <c r="E9" s="4"/>
      <c r="F9" s="4"/>
      <c r="G9" s="4"/>
      <c r="H9" s="4"/>
    </row>
    <row r="10" customFormat="false" ht="15" hidden="false" customHeight="false" outlineLevel="0" collapsed="false">
      <c r="A10" s="4"/>
      <c r="B10" s="4"/>
      <c r="C10" s="4"/>
      <c r="D10" s="4"/>
      <c r="E10" s="4"/>
      <c r="F10" s="4"/>
      <c r="G10" s="4"/>
      <c r="H10" s="4"/>
    </row>
    <row r="11" customFormat="false" ht="19.5" hidden="false" customHeight="true" outlineLevel="0" collapsed="false">
      <c r="A11" s="8" t="s">
        <v>49</v>
      </c>
      <c r="B11" s="9"/>
      <c r="C11" s="9"/>
      <c r="D11" s="9"/>
      <c r="E11" s="9"/>
      <c r="F11" s="9"/>
      <c r="G11" s="9"/>
      <c r="H11" s="9"/>
    </row>
    <row r="12" customFormat="false" ht="15" hidden="false" customHeight="false" outlineLevel="0" collapsed="false">
      <c r="A12" s="7" t="s">
        <v>50</v>
      </c>
      <c r="B12" s="23" t="n">
        <v>300</v>
      </c>
      <c r="C12" s="3" t="s">
        <v>51</v>
      </c>
      <c r="D12" s="4"/>
      <c r="E12" s="4"/>
      <c r="F12" s="4"/>
      <c r="G12" s="4"/>
      <c r="H12" s="4"/>
    </row>
    <row r="13" customFormat="false" ht="15" hidden="false" customHeight="false" outlineLevel="0" collapsed="false">
      <c r="A13" s="7" t="s">
        <v>52</v>
      </c>
      <c r="B13" s="24" t="n">
        <v>0.4</v>
      </c>
      <c r="C13" s="3" t="s">
        <v>53</v>
      </c>
      <c r="D13" s="4"/>
      <c r="E13" s="4"/>
      <c r="F13" s="4"/>
      <c r="G13" s="4"/>
      <c r="H13" s="4"/>
    </row>
    <row r="14" customFormat="false" ht="15" hidden="false" customHeight="false" outlineLevel="0" collapsed="false">
      <c r="A14" s="7" t="s">
        <v>54</v>
      </c>
      <c r="B14" s="24" t="n">
        <v>0.9</v>
      </c>
      <c r="C14" s="4"/>
      <c r="D14" s="4"/>
      <c r="E14" s="4"/>
      <c r="F14" s="4"/>
      <c r="G14" s="4"/>
      <c r="H14" s="4"/>
    </row>
    <row r="15" customFormat="false" ht="15" hidden="false" customHeight="false" outlineLevel="0" collapsed="false">
      <c r="A15" s="7" t="s">
        <v>55</v>
      </c>
      <c r="B15" s="24" t="n">
        <v>1</v>
      </c>
      <c r="C15" s="3" t="s">
        <v>56</v>
      </c>
      <c r="D15" s="4"/>
      <c r="E15" s="4"/>
      <c r="F15" s="4"/>
      <c r="G15" s="4"/>
      <c r="H15" s="4"/>
    </row>
    <row r="16" customFormat="false" ht="15" hidden="false" customHeight="false" outlineLevel="0" collapsed="false">
      <c r="A16" s="4"/>
      <c r="B16" s="4"/>
      <c r="C16" s="4"/>
      <c r="D16" s="4"/>
      <c r="E16" s="4"/>
      <c r="F16" s="4"/>
      <c r="G16" s="4"/>
      <c r="H16" s="4"/>
    </row>
    <row r="17" customFormat="false" ht="19.5" hidden="false" customHeight="true" outlineLevel="0" collapsed="false">
      <c r="A17" s="8" t="s">
        <v>57</v>
      </c>
      <c r="B17" s="9"/>
      <c r="C17" s="9"/>
      <c r="D17" s="9"/>
      <c r="E17" s="9"/>
      <c r="F17" s="9"/>
      <c r="G17" s="9"/>
      <c r="H17" s="9"/>
    </row>
    <row r="18" customFormat="false" ht="15" hidden="false" customHeight="false" outlineLevel="0" collapsed="false">
      <c r="A18" s="7" t="s">
        <v>58</v>
      </c>
      <c r="B18" s="23" t="n">
        <v>2</v>
      </c>
      <c r="C18" s="3" t="s">
        <v>59</v>
      </c>
      <c r="D18" s="4"/>
      <c r="E18" s="4"/>
      <c r="F18" s="4"/>
      <c r="G18" s="4"/>
      <c r="H18" s="4"/>
    </row>
    <row r="19" customFormat="false" ht="15" hidden="false" customHeight="false" outlineLevel="0" collapsed="false">
      <c r="A19" s="7" t="s">
        <v>60</v>
      </c>
      <c r="B19" s="24" t="n">
        <v>0.1</v>
      </c>
      <c r="C19" s="3" t="s">
        <v>61</v>
      </c>
      <c r="D19" s="4"/>
      <c r="E19" s="4"/>
      <c r="F19" s="4"/>
      <c r="G19" s="4"/>
      <c r="H19" s="4"/>
    </row>
    <row r="20" customFormat="false" ht="15" hidden="false" customHeight="false" outlineLevel="0" collapsed="false">
      <c r="A20" s="7" t="s">
        <v>62</v>
      </c>
      <c r="B20" s="24" t="n">
        <v>0.15</v>
      </c>
      <c r="C20" s="3" t="s">
        <v>63</v>
      </c>
      <c r="D20" s="4"/>
      <c r="E20" s="4"/>
      <c r="F20" s="4"/>
      <c r="G20" s="4"/>
      <c r="H20" s="4"/>
    </row>
    <row r="21" customFormat="false" ht="15" hidden="false" customHeight="false" outlineLevel="0" collapsed="false">
      <c r="A21" s="4"/>
      <c r="B21" s="4"/>
      <c r="C21" s="4"/>
      <c r="D21" s="4"/>
      <c r="E21" s="4"/>
      <c r="F21" s="4"/>
      <c r="G21" s="4"/>
      <c r="H21" s="4"/>
    </row>
    <row r="22" customFormat="false" ht="19.5" hidden="false" customHeight="true" outlineLevel="0" collapsed="false">
      <c r="A22" s="8" t="s">
        <v>64</v>
      </c>
      <c r="B22" s="9"/>
      <c r="C22" s="9"/>
      <c r="D22" s="9"/>
      <c r="E22" s="9"/>
      <c r="F22" s="9"/>
      <c r="G22" s="9"/>
      <c r="H22" s="9"/>
    </row>
    <row r="23" customFormat="false" ht="15" hidden="false" customHeight="false" outlineLevel="0" collapsed="false">
      <c r="A23" s="5" t="s">
        <v>65</v>
      </c>
      <c r="B23" s="4"/>
      <c r="C23" s="4"/>
      <c r="D23" s="4"/>
      <c r="E23" s="4"/>
      <c r="F23" s="4"/>
      <c r="G23" s="4"/>
      <c r="H23" s="4"/>
    </row>
    <row r="24" customFormat="false" ht="15" hidden="false" customHeight="false" outlineLevel="0" collapsed="false">
      <c r="A24" s="25" t="s">
        <v>66</v>
      </c>
      <c r="B24" s="24" t="n">
        <v>0.06</v>
      </c>
      <c r="C24" s="3" t="s">
        <v>67</v>
      </c>
      <c r="D24" s="4"/>
      <c r="E24" s="4"/>
      <c r="F24" s="4"/>
      <c r="G24" s="4"/>
      <c r="H24" s="4"/>
    </row>
    <row r="25" customFormat="false" ht="15" hidden="false" customHeight="false" outlineLevel="0" collapsed="false">
      <c r="A25" s="26" t="s">
        <v>68</v>
      </c>
      <c r="B25" s="27" t="n">
        <f aca="false">Вводные!$B$24</f>
        <v>0.06</v>
      </c>
      <c r="C25" s="3" t="s">
        <v>69</v>
      </c>
      <c r="D25" s="4"/>
      <c r="E25" s="4"/>
      <c r="F25" s="4"/>
      <c r="G25" s="4"/>
      <c r="H25" s="4"/>
    </row>
    <row r="26" customFormat="false" ht="15" hidden="false" customHeight="false" outlineLevel="0" collapsed="false">
      <c r="A26" s="25" t="s">
        <v>70</v>
      </c>
      <c r="B26" s="24" t="n">
        <v>0.05</v>
      </c>
      <c r="C26" s="3" t="s">
        <v>71</v>
      </c>
      <c r="D26" s="4"/>
      <c r="E26" s="4"/>
      <c r="F26" s="4"/>
      <c r="G26" s="4"/>
      <c r="H26" s="4"/>
    </row>
    <row r="27" customFormat="false" ht="15" hidden="false" customHeight="false" outlineLevel="0" collapsed="false">
      <c r="A27" s="4"/>
      <c r="B27" s="4"/>
      <c r="C27" s="4"/>
      <c r="D27" s="4"/>
      <c r="E27" s="4"/>
      <c r="F27" s="4"/>
      <c r="G27" s="4"/>
      <c r="H27" s="4"/>
    </row>
    <row r="28" customFormat="false" ht="15" hidden="false" customHeight="false" outlineLevel="0" collapsed="false">
      <c r="A28" s="5" t="s">
        <v>72</v>
      </c>
      <c r="B28" s="4"/>
      <c r="C28" s="4"/>
      <c r="D28" s="4"/>
      <c r="E28" s="4"/>
      <c r="F28" s="4"/>
      <c r="G28" s="4"/>
      <c r="H28" s="4"/>
    </row>
    <row r="29" customFormat="false" ht="15" hidden="false" customHeight="false" outlineLevel="0" collapsed="false">
      <c r="A29" s="25" t="s">
        <v>73</v>
      </c>
      <c r="B29" s="24" t="n">
        <v>0.06</v>
      </c>
      <c r="C29" s="4"/>
      <c r="D29" s="4"/>
      <c r="E29" s="4"/>
      <c r="F29" s="4"/>
      <c r="G29" s="4"/>
      <c r="H29" s="4"/>
    </row>
    <row r="30" customFormat="false" ht="15" hidden="false" customHeight="false" outlineLevel="0" collapsed="false">
      <c r="A30" s="25" t="s">
        <v>74</v>
      </c>
      <c r="B30" s="24" t="n">
        <v>0.01</v>
      </c>
      <c r="C30" s="4"/>
      <c r="D30" s="4"/>
      <c r="E30" s="4"/>
      <c r="F30" s="4"/>
      <c r="G30" s="4"/>
      <c r="H30" s="4"/>
    </row>
    <row r="31" customFormat="false" ht="15" hidden="false" customHeight="false" outlineLevel="0" collapsed="false">
      <c r="A31" s="25" t="s">
        <v>75</v>
      </c>
      <c r="B31" s="24" t="n">
        <v>0.01</v>
      </c>
      <c r="C31" s="4"/>
      <c r="D31" s="4"/>
      <c r="E31" s="4"/>
      <c r="F31" s="4"/>
      <c r="G31" s="4"/>
      <c r="H31" s="4"/>
    </row>
    <row r="32" customFormat="false" ht="15" hidden="false" customHeight="false" outlineLevel="0" collapsed="false">
      <c r="A32" s="26" t="s">
        <v>76</v>
      </c>
      <c r="B32" s="28" t="n">
        <f aca="false">Вводные!$B$29+Вводные!$B$30+Вводные!$B$31</f>
        <v>0.08</v>
      </c>
      <c r="C32" s="3" t="s">
        <v>77</v>
      </c>
      <c r="D32" s="4"/>
      <c r="E32" s="4"/>
      <c r="F32" s="4"/>
      <c r="G32" s="4"/>
      <c r="H32" s="4"/>
    </row>
    <row r="33" customFormat="false" ht="15" hidden="false" customHeight="false" outlineLevel="0" collapsed="false">
      <c r="A33" s="4"/>
      <c r="B33" s="4"/>
      <c r="C33" s="4"/>
      <c r="D33" s="4"/>
      <c r="E33" s="4"/>
      <c r="F33" s="4"/>
      <c r="G33" s="4"/>
      <c r="H33" s="4"/>
    </row>
    <row r="34" customFormat="false" ht="19.5" hidden="false" customHeight="true" outlineLevel="0" collapsed="false">
      <c r="A34" s="8" t="s">
        <v>78</v>
      </c>
      <c r="B34" s="9"/>
      <c r="C34" s="9"/>
      <c r="D34" s="9"/>
      <c r="E34" s="9"/>
      <c r="F34" s="9"/>
      <c r="G34" s="9"/>
      <c r="H34" s="9"/>
    </row>
    <row r="35" customFormat="false" ht="15" hidden="false" customHeight="false" outlineLevel="0" collapsed="false">
      <c r="A35" s="7" t="s">
        <v>79</v>
      </c>
      <c r="B35" s="24" t="n">
        <v>0.5</v>
      </c>
      <c r="C35" s="4"/>
      <c r="D35" s="4"/>
      <c r="E35" s="4"/>
      <c r="F35" s="4"/>
      <c r="G35" s="4"/>
      <c r="H35" s="4"/>
    </row>
    <row r="36" customFormat="false" ht="15" hidden="false" customHeight="false" outlineLevel="0" collapsed="false">
      <c r="A36" s="7" t="s">
        <v>80</v>
      </c>
      <c r="B36" s="29" t="n">
        <f aca="false">1-Вводные!$B$35</f>
        <v>0.5</v>
      </c>
      <c r="C36" s="4"/>
      <c r="D36" s="4"/>
      <c r="E36" s="4"/>
      <c r="F36" s="4"/>
      <c r="G36" s="4"/>
      <c r="H36" s="4"/>
    </row>
    <row r="37" customFormat="false" ht="15" hidden="false" customHeight="false" outlineLevel="0" collapsed="false">
      <c r="A37" s="7" t="s">
        <v>81</v>
      </c>
      <c r="B37" s="22" t="s">
        <v>82</v>
      </c>
      <c r="C37" s="3" t="s">
        <v>83</v>
      </c>
      <c r="D37" s="4"/>
      <c r="E37" s="4"/>
      <c r="F37" s="4"/>
      <c r="G37" s="4"/>
      <c r="H37" s="4"/>
    </row>
    <row r="38" customFormat="false" ht="15" hidden="false" customHeight="false" outlineLevel="0" collapsed="false">
      <c r="A38" s="7" t="s">
        <v>84</v>
      </c>
      <c r="B38" s="22" t="s">
        <v>82</v>
      </c>
      <c r="C38" s="3" t="s">
        <v>85</v>
      </c>
      <c r="D38" s="4"/>
      <c r="E38" s="4"/>
      <c r="F38" s="4"/>
      <c r="G38" s="4"/>
      <c r="H38" s="4"/>
    </row>
    <row r="39" customFormat="false" ht="15" hidden="false" customHeight="false" outlineLevel="0" collapsed="false">
      <c r="A39" s="4"/>
      <c r="B39" s="4"/>
      <c r="C39" s="4"/>
      <c r="D39" s="4"/>
      <c r="E39" s="4"/>
      <c r="F39" s="4"/>
      <c r="G39" s="4"/>
      <c r="H39" s="4"/>
    </row>
    <row r="40" customFormat="false" ht="19.5" hidden="false" customHeight="true" outlineLevel="0" collapsed="false">
      <c r="A40" s="8" t="s">
        <v>86</v>
      </c>
      <c r="B40" s="9"/>
      <c r="C40" s="9"/>
      <c r="D40" s="9"/>
      <c r="E40" s="9"/>
      <c r="F40" s="9"/>
      <c r="G40" s="9"/>
      <c r="H40" s="9"/>
    </row>
    <row r="41" customFormat="false" ht="15" hidden="false" customHeight="false" outlineLevel="0" collapsed="false">
      <c r="A41" s="7" t="s">
        <v>87</v>
      </c>
      <c r="B41" s="30" t="n">
        <v>60</v>
      </c>
      <c r="C41" s="3" t="s">
        <v>88</v>
      </c>
      <c r="D41" s="4"/>
      <c r="E41" s="4"/>
      <c r="F41" s="4"/>
      <c r="G41" s="4"/>
      <c r="H41" s="4"/>
    </row>
    <row r="42" customFormat="false" ht="15" hidden="false" customHeight="false" outlineLevel="0" collapsed="false">
      <c r="A42" s="7" t="s">
        <v>89</v>
      </c>
      <c r="B42" s="24" t="n">
        <v>0.1</v>
      </c>
      <c r="C42" s="3" t="s">
        <v>90</v>
      </c>
      <c r="D42" s="4"/>
      <c r="E42" s="4"/>
      <c r="F42" s="4"/>
      <c r="G42" s="4"/>
      <c r="H42" s="4"/>
    </row>
  </sheetData>
  <dataValidations count="2">
    <dataValidation allowBlank="false" errorStyle="stop" operator="between" showDropDown="false" showErrorMessage="false" showInputMessage="false" sqref="B37" type="list">
      <formula1>"Да,Нет"</formula1>
      <formula2>0</formula2>
    </dataValidation>
    <dataValidation allowBlank="false" errorStyle="stop" operator="between" showDropDown="false" showErrorMessage="false" showInputMessage="false" sqref="B38" type="list">
      <formula1>"Да,Нет"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3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6" min="6" style="0" width="16"/>
    <col collapsed="false" customWidth="true" hidden="false" outlineLevel="0" max="7" min="7" style="0" width="11"/>
    <col collapsed="false" customWidth="true" hidden="false" outlineLevel="0" max="8" min="8" style="0" width="56"/>
  </cols>
  <sheetData>
    <row r="1" customFormat="false" ht="30" hidden="false" customHeight="true" outlineLevel="0" collapsed="false">
      <c r="A1" s="1" t="s">
        <v>91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3" t="s">
        <v>92</v>
      </c>
      <c r="B2" s="4"/>
      <c r="C2" s="4"/>
      <c r="D2" s="4"/>
      <c r="E2" s="4"/>
      <c r="F2" s="4"/>
      <c r="G2" s="4"/>
      <c r="H2" s="4"/>
    </row>
    <row r="3" customFormat="false" ht="15" hidden="false" customHeight="false" outlineLevel="0" collapsed="false">
      <c r="A3" s="4"/>
      <c r="B3" s="4"/>
      <c r="C3" s="4"/>
      <c r="D3" s="4"/>
      <c r="E3" s="4"/>
      <c r="F3" s="4"/>
      <c r="G3" s="4"/>
      <c r="H3" s="4"/>
    </row>
    <row r="4" customFormat="false" ht="19.5" hidden="false" customHeight="true" outlineLevel="0" collapsed="false">
      <c r="A4" s="8" t="s">
        <v>93</v>
      </c>
      <c r="B4" s="9"/>
      <c r="C4" s="9"/>
      <c r="D4" s="9"/>
      <c r="E4" s="9"/>
      <c r="F4" s="9"/>
      <c r="G4" s="9"/>
      <c r="H4" s="9"/>
    </row>
    <row r="5" customFormat="false" ht="30" hidden="false" customHeight="true" outlineLevel="0" collapsed="false">
      <c r="A5" s="31" t="s">
        <v>94</v>
      </c>
      <c r="B5" s="31" t="s">
        <v>95</v>
      </c>
      <c r="C5" s="31" t="s">
        <v>96</v>
      </c>
      <c r="D5" s="31" t="s">
        <v>97</v>
      </c>
      <c r="E5" s="31" t="s">
        <v>98</v>
      </c>
      <c r="F5" s="31" t="s">
        <v>99</v>
      </c>
      <c r="G5" s="31" t="s">
        <v>100</v>
      </c>
      <c r="H5" s="31" t="s">
        <v>101</v>
      </c>
    </row>
    <row r="6" customFormat="false" ht="15" hidden="false" customHeight="false" outlineLevel="0" collapsed="false">
      <c r="A6" s="32" t="s">
        <v>102</v>
      </c>
      <c r="B6" s="30" t="n">
        <v>1800</v>
      </c>
      <c r="C6" s="23" t="n">
        <v>60</v>
      </c>
      <c r="D6" s="24" t="n">
        <v>0.95</v>
      </c>
      <c r="E6" s="33" t="n">
        <f aca="false">ROUND(C6*D6,0)</f>
        <v>57</v>
      </c>
      <c r="F6" s="34" t="n">
        <f aca="false">B6*E6</f>
        <v>102600</v>
      </c>
      <c r="G6" s="35" t="n">
        <f aca="false">IFERROR(F6/$F$12,0)</f>
        <v>0.220124436816134</v>
      </c>
      <c r="H6" s="36" t="s">
        <v>103</v>
      </c>
    </row>
    <row r="7" customFormat="false" ht="15" hidden="false" customHeight="false" outlineLevel="0" collapsed="false">
      <c r="A7" s="32" t="s">
        <v>104</v>
      </c>
      <c r="B7" s="30" t="n">
        <v>2500</v>
      </c>
      <c r="C7" s="23" t="n">
        <v>150</v>
      </c>
      <c r="D7" s="24" t="n">
        <v>0.6</v>
      </c>
      <c r="E7" s="33" t="n">
        <f aca="false">ROUND(C7*D7,0)</f>
        <v>90</v>
      </c>
      <c r="F7" s="34" t="n">
        <f aca="false">B7*E7</f>
        <v>225000</v>
      </c>
      <c r="G7" s="35" t="n">
        <f aca="false">IFERROR(F7/$F$12,0)</f>
        <v>0.482729028105557</v>
      </c>
      <c r="H7" s="36" t="s">
        <v>105</v>
      </c>
    </row>
    <row r="8" customFormat="false" ht="15" hidden="false" customHeight="false" outlineLevel="0" collapsed="false">
      <c r="A8" s="32" t="s">
        <v>106</v>
      </c>
      <c r="B8" s="30" t="n">
        <v>2800</v>
      </c>
      <c r="C8" s="23" t="n">
        <v>40</v>
      </c>
      <c r="D8" s="24" t="n">
        <v>0.5</v>
      </c>
      <c r="E8" s="33" t="n">
        <f aca="false">ROUND(C8*D8,0)</f>
        <v>20</v>
      </c>
      <c r="F8" s="34" t="n">
        <f aca="false">B8*E8</f>
        <v>56000</v>
      </c>
      <c r="G8" s="35" t="n">
        <f aca="false">IFERROR(F8/$F$12,0)</f>
        <v>0.120145891439605</v>
      </c>
      <c r="H8" s="36" t="s">
        <v>107</v>
      </c>
    </row>
    <row r="9" customFormat="false" ht="15" hidden="false" customHeight="false" outlineLevel="0" collapsed="false">
      <c r="A9" s="32" t="s">
        <v>108</v>
      </c>
      <c r="B9" s="30" t="n">
        <v>4000</v>
      </c>
      <c r="C9" s="23" t="n">
        <v>30</v>
      </c>
      <c r="D9" s="24" t="n">
        <v>0.6</v>
      </c>
      <c r="E9" s="33" t="n">
        <f aca="false">ROUND(C9*D9,0)</f>
        <v>18</v>
      </c>
      <c r="F9" s="34" t="n">
        <f aca="false">B9*E9</f>
        <v>72000</v>
      </c>
      <c r="G9" s="35" t="n">
        <f aca="false">IFERROR(F9/$F$12,0)</f>
        <v>0.154473288993778</v>
      </c>
      <c r="H9" s="36" t="s">
        <v>109</v>
      </c>
    </row>
    <row r="10" customFormat="false" ht="15" hidden="false" customHeight="false" outlineLevel="0" collapsed="false">
      <c r="A10" s="32" t="s">
        <v>110</v>
      </c>
      <c r="B10" s="30" t="n">
        <v>1500</v>
      </c>
      <c r="C10" s="23" t="n">
        <v>10</v>
      </c>
      <c r="D10" s="24" t="n">
        <v>0.7</v>
      </c>
      <c r="E10" s="33" t="n">
        <f aca="false">ROUND(C10*D10,0)</f>
        <v>7</v>
      </c>
      <c r="F10" s="34" t="n">
        <f aca="false">B10*E10</f>
        <v>10500</v>
      </c>
      <c r="G10" s="35" t="n">
        <f aca="false">IFERROR(F10/$F$12,0)</f>
        <v>0.022527354644926</v>
      </c>
      <c r="H10" s="36" t="s">
        <v>111</v>
      </c>
    </row>
    <row r="11" customFormat="false" ht="15" hidden="false" customHeight="false" outlineLevel="0" collapsed="false">
      <c r="A11" s="32" t="s">
        <v>112</v>
      </c>
      <c r="B11" s="30" t="n">
        <v>0</v>
      </c>
      <c r="C11" s="23" t="n">
        <v>10</v>
      </c>
      <c r="D11" s="24" t="n">
        <v>1</v>
      </c>
      <c r="E11" s="33" t="n">
        <f aca="false">ROUND(C11*D11,0)</f>
        <v>10</v>
      </c>
      <c r="F11" s="34" t="n">
        <f aca="false">B11*E11</f>
        <v>0</v>
      </c>
      <c r="G11" s="35" t="n">
        <f aca="false">IFERROR(F11/$F$12,0)</f>
        <v>0</v>
      </c>
      <c r="H11" s="36" t="s">
        <v>113</v>
      </c>
    </row>
    <row r="12" customFormat="false" ht="15" hidden="false" customHeight="false" outlineLevel="0" collapsed="false">
      <c r="A12" s="37" t="s">
        <v>114</v>
      </c>
      <c r="B12" s="38"/>
      <c r="C12" s="39" t="n">
        <f aca="false">SUM(C6:C11)</f>
        <v>300</v>
      </c>
      <c r="D12" s="38"/>
      <c r="E12" s="39" t="n">
        <f aca="false">SUM(E6:E11)</f>
        <v>202</v>
      </c>
      <c r="F12" s="40" t="n">
        <f aca="false">SUM(F6:F11)</f>
        <v>466100</v>
      </c>
      <c r="G12" s="28" t="n">
        <f aca="false">SUM(G6:G11)</f>
        <v>1</v>
      </c>
      <c r="H12" s="38"/>
    </row>
    <row r="13" customFormat="false" ht="15" hidden="false" customHeight="false" outlineLevel="0" collapsed="false">
      <c r="A13" s="4"/>
      <c r="B13" s="4"/>
      <c r="C13" s="4"/>
      <c r="D13" s="4"/>
      <c r="E13" s="4"/>
      <c r="F13" s="4"/>
      <c r="G13" s="4"/>
      <c r="H13" s="4"/>
    </row>
    <row r="14" customFormat="false" ht="19.5" hidden="false" customHeight="true" outlineLevel="0" collapsed="false">
      <c r="A14" s="8" t="s">
        <v>115</v>
      </c>
      <c r="B14" s="9"/>
      <c r="C14" s="9"/>
      <c r="D14" s="9"/>
      <c r="E14" s="9"/>
      <c r="F14" s="9"/>
      <c r="G14" s="9"/>
      <c r="H14" s="9"/>
    </row>
    <row r="15" customFormat="false" ht="15" hidden="false" customHeight="false" outlineLevel="0" collapsed="false">
      <c r="A15" s="7" t="s">
        <v>116</v>
      </c>
      <c r="B15" s="41" t="str">
        <f aca="false">IF(Билеты!$C$12=Вводные!$B$12,"OK — квоты сходятся с залом","ВНИМАНИЕ: квоты ("&amp;Билеты!$C$12&amp;") ≠ вместимость ("&amp;Вводные!$B$12&amp;")")</f>
        <v>OK — квоты сходятся с залом</v>
      </c>
      <c r="C15" s="4"/>
      <c r="D15" s="4"/>
      <c r="E15" s="4"/>
      <c r="F15" s="4"/>
      <c r="G15" s="4"/>
      <c r="H15" s="4"/>
    </row>
    <row r="16" customFormat="false" ht="15" hidden="false" customHeight="false" outlineLevel="0" collapsed="false">
      <c r="A16" s="7" t="s">
        <v>117</v>
      </c>
      <c r="B16" s="42" t="n">
        <f aca="false">Билеты!$E$12</f>
        <v>202</v>
      </c>
      <c r="C16" s="4"/>
      <c r="D16" s="4"/>
      <c r="E16" s="4"/>
      <c r="F16" s="4"/>
      <c r="G16" s="4"/>
      <c r="H16" s="4"/>
    </row>
    <row r="17" customFormat="false" ht="15" hidden="false" customHeight="false" outlineLevel="0" collapsed="false">
      <c r="A17" s="7" t="s">
        <v>118</v>
      </c>
      <c r="B17" s="43" t="n">
        <f aca="false">SUMIF(B6:B11,"&gt;0",E6:E11)</f>
        <v>192</v>
      </c>
      <c r="C17" s="4"/>
      <c r="D17" s="4"/>
      <c r="E17" s="4"/>
      <c r="F17" s="4"/>
      <c r="G17" s="4"/>
      <c r="H17" s="4"/>
    </row>
    <row r="18" customFormat="false" ht="15" hidden="false" customHeight="false" outlineLevel="0" collapsed="false">
      <c r="A18" s="7" t="s">
        <v>119</v>
      </c>
      <c r="B18" s="43" t="n">
        <f aca="false">Билеты!$E$12-Билеты!$B$17</f>
        <v>10</v>
      </c>
      <c r="C18" s="4"/>
      <c r="D18" s="4"/>
      <c r="E18" s="4"/>
      <c r="F18" s="4"/>
      <c r="G18" s="4"/>
      <c r="H18" s="4"/>
    </row>
    <row r="19" customFormat="false" ht="15" hidden="false" customHeight="false" outlineLevel="0" collapsed="false">
      <c r="A19" s="7" t="s">
        <v>120</v>
      </c>
      <c r="B19" s="44" t="n">
        <f aca="false">Билеты!$F$12</f>
        <v>466100</v>
      </c>
      <c r="C19" s="4"/>
      <c r="D19" s="4"/>
      <c r="E19" s="4"/>
      <c r="F19" s="4"/>
      <c r="G19" s="4"/>
      <c r="H19" s="4"/>
    </row>
    <row r="20" customFormat="false" ht="15" hidden="false" customHeight="false" outlineLevel="0" collapsed="false">
      <c r="A20" s="7" t="s">
        <v>121</v>
      </c>
      <c r="B20" s="45" t="n">
        <f aca="false">IFERROR(Билеты!$F$12/Билеты!$B$17,0)</f>
        <v>2427.60416666667</v>
      </c>
      <c r="C20" s="4"/>
      <c r="D20" s="4"/>
      <c r="E20" s="4"/>
      <c r="F20" s="4"/>
      <c r="G20" s="4"/>
      <c r="H20" s="4"/>
    </row>
    <row r="21" customFormat="false" ht="15" hidden="false" customHeight="false" outlineLevel="0" collapsed="false">
      <c r="A21" s="7" t="s">
        <v>122</v>
      </c>
      <c r="B21" s="45" t="n">
        <f aca="false">IFERROR(Билеты!$F$12/Вводные!$B$12,0)</f>
        <v>1553.66666666667</v>
      </c>
      <c r="C21" s="3" t="s">
        <v>123</v>
      </c>
      <c r="D21" s="4"/>
      <c r="E21" s="4"/>
      <c r="F21" s="4"/>
      <c r="G21" s="4"/>
      <c r="H21" s="4"/>
    </row>
    <row r="22" customFormat="false" ht="15" hidden="false" customHeight="false" outlineLevel="0" collapsed="false">
      <c r="A22" s="7" t="s">
        <v>124</v>
      </c>
      <c r="B22" s="29" t="n">
        <f aca="false">IFERROR(Билеты!$E$12/Вводные!$B$12,0)</f>
        <v>0.673333333333333</v>
      </c>
      <c r="C22" s="4"/>
      <c r="D22" s="4"/>
      <c r="E22" s="4"/>
      <c r="F22" s="4"/>
      <c r="G22" s="4"/>
      <c r="H22" s="4"/>
    </row>
    <row r="23" customFormat="false" ht="15" hidden="false" customHeight="false" outlineLevel="0" collapsed="false">
      <c r="A23" s="7" t="s">
        <v>125</v>
      </c>
      <c r="B23" s="29" t="n">
        <f aca="false">IFERROR(Билеты!$B$17/Билеты!$E$12,0)</f>
        <v>0.950495049504951</v>
      </c>
      <c r="C23" s="4"/>
      <c r="D23" s="4"/>
      <c r="E23" s="4"/>
      <c r="F23" s="4"/>
      <c r="G23" s="4"/>
      <c r="H23" s="4"/>
    </row>
    <row r="24" customFormat="false" ht="15" hidden="false" customHeight="false" outlineLevel="0" collapsed="false">
      <c r="A24" s="4"/>
      <c r="B24" s="4"/>
      <c r="C24" s="4"/>
      <c r="D24" s="4"/>
      <c r="E24" s="4"/>
      <c r="F24" s="4"/>
      <c r="G24" s="4"/>
      <c r="H24" s="4"/>
    </row>
    <row r="25" customFormat="false" ht="19.5" hidden="false" customHeight="true" outlineLevel="0" collapsed="false">
      <c r="A25" s="8" t="s">
        <v>126</v>
      </c>
      <c r="B25" s="9"/>
      <c r="C25" s="9"/>
      <c r="D25" s="9"/>
      <c r="E25" s="9"/>
      <c r="F25" s="9"/>
      <c r="G25" s="9"/>
      <c r="H25" s="9"/>
    </row>
    <row r="26" customFormat="false" ht="30" hidden="false" customHeight="true" outlineLevel="0" collapsed="false">
      <c r="A26" s="31" t="s">
        <v>127</v>
      </c>
      <c r="B26" s="31" t="s">
        <v>128</v>
      </c>
      <c r="C26" s="31" t="s">
        <v>129</v>
      </c>
      <c r="D26" s="31" t="s">
        <v>130</v>
      </c>
      <c r="E26" s="31" t="s">
        <v>131</v>
      </c>
      <c r="F26" s="31"/>
      <c r="G26" s="31"/>
      <c r="H26" s="31" t="s">
        <v>101</v>
      </c>
    </row>
    <row r="27" customFormat="false" ht="15" hidden="false" customHeight="false" outlineLevel="0" collapsed="false">
      <c r="A27" s="32" t="s">
        <v>132</v>
      </c>
      <c r="B27" s="23" t="n">
        <v>30</v>
      </c>
      <c r="C27" s="30" t="n">
        <v>2000</v>
      </c>
      <c r="D27" s="24" t="n">
        <v>0.55</v>
      </c>
      <c r="E27" s="46" t="n">
        <f aca="false">B27*C27*D27</f>
        <v>33000</v>
      </c>
      <c r="F27" s="47"/>
      <c r="G27" s="47"/>
      <c r="H27" s="36" t="s">
        <v>133</v>
      </c>
    </row>
    <row r="28" customFormat="false" ht="15" hidden="false" customHeight="false" outlineLevel="0" collapsed="false">
      <c r="A28" s="32" t="s">
        <v>134</v>
      </c>
      <c r="B28" s="23" t="n">
        <v>1</v>
      </c>
      <c r="C28" s="30" t="n">
        <v>250000</v>
      </c>
      <c r="D28" s="24" t="n">
        <v>0.1</v>
      </c>
      <c r="E28" s="46" t="n">
        <f aca="false">B28*C28*D28</f>
        <v>25000</v>
      </c>
      <c r="F28" s="47"/>
      <c r="G28" s="47"/>
      <c r="H28" s="36" t="s">
        <v>135</v>
      </c>
    </row>
    <row r="29" customFormat="false" ht="15" hidden="false" customHeight="false" outlineLevel="0" collapsed="false">
      <c r="A29" s="32" t="s">
        <v>136</v>
      </c>
      <c r="B29" s="23" t="n">
        <v>1</v>
      </c>
      <c r="C29" s="30" t="n">
        <v>0</v>
      </c>
      <c r="D29" s="24" t="n">
        <v>1</v>
      </c>
      <c r="E29" s="46" t="n">
        <f aca="false">B29*C29*D29</f>
        <v>0</v>
      </c>
      <c r="F29" s="47"/>
      <c r="G29" s="47"/>
      <c r="H29" s="36" t="s">
        <v>137</v>
      </c>
    </row>
    <row r="30" customFormat="false" ht="15" hidden="false" customHeight="false" outlineLevel="0" collapsed="false">
      <c r="A30" s="32" t="s">
        <v>138</v>
      </c>
      <c r="B30" s="23" t="n">
        <v>1</v>
      </c>
      <c r="C30" s="30" t="n">
        <v>0</v>
      </c>
      <c r="D30" s="24" t="n">
        <v>1</v>
      </c>
      <c r="E30" s="46" t="n">
        <f aca="false">B30*C30*D30</f>
        <v>0</v>
      </c>
      <c r="F30" s="47"/>
      <c r="G30" s="47"/>
      <c r="H30" s="36" t="s">
        <v>139</v>
      </c>
    </row>
    <row r="31" customFormat="false" ht="15" hidden="false" customHeight="false" outlineLevel="0" collapsed="false">
      <c r="A31" s="32" t="s">
        <v>140</v>
      </c>
      <c r="B31" s="23" t="n">
        <v>1</v>
      </c>
      <c r="C31" s="30" t="n">
        <v>0</v>
      </c>
      <c r="D31" s="24" t="n">
        <v>1</v>
      </c>
      <c r="E31" s="46" t="n">
        <f aca="false">B31*C31*D31</f>
        <v>0</v>
      </c>
      <c r="F31" s="47"/>
      <c r="G31" s="47"/>
      <c r="H31" s="36" t="s">
        <v>141</v>
      </c>
    </row>
    <row r="32" customFormat="false" ht="15" hidden="false" customHeight="false" outlineLevel="0" collapsed="false">
      <c r="A32" s="37" t="s">
        <v>142</v>
      </c>
      <c r="B32" s="38"/>
      <c r="C32" s="38"/>
      <c r="D32" s="38"/>
      <c r="E32" s="40" t="n">
        <f aca="false">SUM(E27:E31)</f>
        <v>58000</v>
      </c>
      <c r="F32" s="38"/>
      <c r="G32" s="38"/>
      <c r="H32" s="3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3" min="2" style="0" width="14"/>
    <col collapsed="false" customWidth="true" hidden="false" outlineLevel="0" max="4" min="4" style="0" width="13"/>
    <col collapsed="false" customWidth="true" hidden="false" outlineLevel="0" max="7" min="5" style="0" width="14"/>
    <col collapsed="false" customWidth="true" hidden="false" outlineLevel="0" max="8" min="8" style="0" width="54"/>
  </cols>
  <sheetData>
    <row r="1" customFormat="false" ht="30" hidden="false" customHeight="true" outlineLevel="0" collapsed="false">
      <c r="A1" s="1" t="s">
        <v>143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3" t="s">
        <v>144</v>
      </c>
      <c r="B2" s="4"/>
      <c r="C2" s="4"/>
      <c r="D2" s="4"/>
      <c r="E2" s="4"/>
      <c r="F2" s="4"/>
      <c r="G2" s="4"/>
      <c r="H2" s="4"/>
    </row>
    <row r="3" customFormat="false" ht="15" hidden="false" customHeight="false" outlineLevel="0" collapsed="false">
      <c r="A3" s="4"/>
      <c r="B3" s="4"/>
      <c r="C3" s="4"/>
      <c r="D3" s="4"/>
      <c r="E3" s="4"/>
      <c r="F3" s="4"/>
      <c r="G3" s="4"/>
      <c r="H3" s="4"/>
    </row>
    <row r="4" customFormat="false" ht="19.5" hidden="false" customHeight="true" outlineLevel="0" collapsed="false">
      <c r="A4" s="8" t="s">
        <v>145</v>
      </c>
      <c r="B4" s="9"/>
      <c r="C4" s="9"/>
      <c r="D4" s="9"/>
      <c r="E4" s="9"/>
      <c r="F4" s="9"/>
      <c r="G4" s="9"/>
      <c r="H4" s="9"/>
    </row>
    <row r="5" customFormat="false" ht="30" hidden="false" customHeight="true" outlineLevel="0" collapsed="false">
      <c r="A5" s="31" t="s">
        <v>146</v>
      </c>
      <c r="B5" s="31" t="s">
        <v>147</v>
      </c>
      <c r="C5" s="31" t="s">
        <v>148</v>
      </c>
      <c r="D5" s="31" t="s">
        <v>149</v>
      </c>
      <c r="E5" s="31" t="s">
        <v>150</v>
      </c>
      <c r="F5" s="31" t="s">
        <v>151</v>
      </c>
      <c r="G5" s="31" t="s">
        <v>152</v>
      </c>
      <c r="H5" s="31" t="s">
        <v>101</v>
      </c>
    </row>
    <row r="6" customFormat="false" ht="15" hidden="false" customHeight="false" outlineLevel="0" collapsed="false">
      <c r="A6" s="32" t="s">
        <v>153</v>
      </c>
      <c r="B6" s="30" t="n">
        <v>25000</v>
      </c>
      <c r="C6" s="23" t="n">
        <v>120000</v>
      </c>
      <c r="D6" s="48" t="n">
        <v>0.012</v>
      </c>
      <c r="E6" s="48" t="n">
        <v>0.03</v>
      </c>
      <c r="F6" s="49" t="n">
        <f aca="false">ROUND(C6*D6*E6,0)</f>
        <v>43</v>
      </c>
      <c r="G6" s="46" t="n">
        <f aca="false">IFERROR(B6/F6,0)</f>
        <v>581.395348837209</v>
      </c>
      <c r="H6" s="36" t="s">
        <v>154</v>
      </c>
    </row>
    <row r="7" customFormat="false" ht="15" hidden="false" customHeight="false" outlineLevel="0" collapsed="false">
      <c r="A7" s="32" t="s">
        <v>155</v>
      </c>
      <c r="B7" s="30" t="n">
        <v>20000</v>
      </c>
      <c r="C7" s="23" t="n">
        <v>60000</v>
      </c>
      <c r="D7" s="48" t="n">
        <v>0.02</v>
      </c>
      <c r="E7" s="48" t="n">
        <v>0.04</v>
      </c>
      <c r="F7" s="49" t="n">
        <f aca="false">ROUND(C7*D7*E7,0)</f>
        <v>48</v>
      </c>
      <c r="G7" s="46" t="n">
        <f aca="false">IFERROR(B7/F7,0)</f>
        <v>416.666666666667</v>
      </c>
      <c r="H7" s="36" t="s">
        <v>156</v>
      </c>
    </row>
    <row r="8" customFormat="false" ht="15" hidden="false" customHeight="false" outlineLevel="0" collapsed="false">
      <c r="A8" s="32" t="s">
        <v>157</v>
      </c>
      <c r="B8" s="30" t="n">
        <v>15000</v>
      </c>
      <c r="C8" s="23" t="n">
        <v>40000</v>
      </c>
      <c r="D8" s="48" t="n">
        <v>0.025</v>
      </c>
      <c r="E8" s="48" t="n">
        <v>0.035</v>
      </c>
      <c r="F8" s="49" t="n">
        <f aca="false">ROUND(C8*D8*E8,0)</f>
        <v>35</v>
      </c>
      <c r="G8" s="46" t="n">
        <f aca="false">IFERROR(B8/F8,0)</f>
        <v>428.571428571429</v>
      </c>
      <c r="H8" s="36" t="s">
        <v>158</v>
      </c>
    </row>
    <row r="9" customFormat="false" ht="15" hidden="false" customHeight="false" outlineLevel="0" collapsed="false">
      <c r="A9" s="32" t="s">
        <v>159</v>
      </c>
      <c r="B9" s="30" t="n">
        <v>10000</v>
      </c>
      <c r="C9" s="23" t="n">
        <v>30000</v>
      </c>
      <c r="D9" s="48" t="n">
        <v>0.005</v>
      </c>
      <c r="E9" s="48" t="n">
        <v>0.05</v>
      </c>
      <c r="F9" s="49" t="n">
        <f aca="false">ROUND(C9*D9*E9,0)</f>
        <v>8</v>
      </c>
      <c r="G9" s="46" t="n">
        <f aca="false">IFERROR(B9/F9,0)</f>
        <v>1250</v>
      </c>
      <c r="H9" s="36" t="s">
        <v>160</v>
      </c>
    </row>
    <row r="10" customFormat="false" ht="15" hidden="false" customHeight="false" outlineLevel="0" collapsed="false">
      <c r="A10" s="32" t="s">
        <v>161</v>
      </c>
      <c r="B10" s="30" t="n">
        <v>0</v>
      </c>
      <c r="C10" s="23" t="n">
        <v>25000</v>
      </c>
      <c r="D10" s="48" t="n">
        <v>0.01</v>
      </c>
      <c r="E10" s="48" t="n">
        <v>0.04</v>
      </c>
      <c r="F10" s="49" t="n">
        <f aca="false">ROUND(C10*D10*E10,0)</f>
        <v>10</v>
      </c>
      <c r="G10" s="46" t="n">
        <f aca="false">IFERROR(B10/F10,0)</f>
        <v>0</v>
      </c>
      <c r="H10" s="36" t="s">
        <v>162</v>
      </c>
    </row>
    <row r="11" customFormat="false" ht="15" hidden="false" customHeight="false" outlineLevel="0" collapsed="false">
      <c r="A11" s="32" t="s">
        <v>163</v>
      </c>
      <c r="B11" s="30" t="n">
        <v>8000</v>
      </c>
      <c r="C11" s="23" t="n">
        <v>20000</v>
      </c>
      <c r="D11" s="48" t="n">
        <v>0.01</v>
      </c>
      <c r="E11" s="48" t="n">
        <v>0.03</v>
      </c>
      <c r="F11" s="49" t="n">
        <f aca="false">ROUND(C11*D11*E11,0)</f>
        <v>6</v>
      </c>
      <c r="G11" s="46" t="n">
        <f aca="false">IFERROR(B11/F11,0)</f>
        <v>1333.33333333333</v>
      </c>
      <c r="H11" s="36" t="s">
        <v>164</v>
      </c>
    </row>
    <row r="12" customFormat="false" ht="15" hidden="false" customHeight="false" outlineLevel="0" collapsed="false">
      <c r="A12" s="32" t="s">
        <v>165</v>
      </c>
      <c r="B12" s="30" t="n">
        <v>2000</v>
      </c>
      <c r="C12" s="23" t="n">
        <v>5000</v>
      </c>
      <c r="D12" s="48" t="n">
        <v>0.12</v>
      </c>
      <c r="E12" s="48" t="n">
        <v>0.08</v>
      </c>
      <c r="F12" s="49" t="n">
        <f aca="false">ROUND(C12*D12*E12,0)</f>
        <v>48</v>
      </c>
      <c r="G12" s="46" t="n">
        <f aca="false">IFERROR(B12/F12,0)</f>
        <v>41.6666666666667</v>
      </c>
      <c r="H12" s="36" t="s">
        <v>166</v>
      </c>
    </row>
    <row r="13" customFormat="false" ht="15" hidden="false" customHeight="false" outlineLevel="0" collapsed="false">
      <c r="A13" s="32" t="s">
        <v>167</v>
      </c>
      <c r="B13" s="30" t="n">
        <v>10000</v>
      </c>
      <c r="C13" s="23" t="n">
        <v>0</v>
      </c>
      <c r="D13" s="48" t="n">
        <v>0</v>
      </c>
      <c r="E13" s="48" t="n">
        <v>0</v>
      </c>
      <c r="F13" s="49" t="n">
        <f aca="false">ROUND(C13*D13*E13,0)</f>
        <v>0</v>
      </c>
      <c r="G13" s="46" t="n">
        <f aca="false">IFERROR(B13/F13,0)</f>
        <v>0</v>
      </c>
      <c r="H13" s="36" t="s">
        <v>168</v>
      </c>
    </row>
    <row r="14" customFormat="false" ht="15" hidden="false" customHeight="false" outlineLevel="0" collapsed="false">
      <c r="A14" s="50" t="s">
        <v>169</v>
      </c>
      <c r="B14" s="51" t="n">
        <f aca="false">SUM(B6:B13)</f>
        <v>90000</v>
      </c>
      <c r="C14" s="52" t="n">
        <f aca="false">SUM(C6:C13)</f>
        <v>300000</v>
      </c>
      <c r="D14" s="38"/>
      <c r="E14" s="38"/>
      <c r="F14" s="52" t="n">
        <f aca="false">SUM(F6:F13)</f>
        <v>198</v>
      </c>
      <c r="G14" s="51" t="n">
        <f aca="false">IFERROR(B14/F14,0)</f>
        <v>454.545454545455</v>
      </c>
      <c r="H14" s="38"/>
    </row>
    <row r="15" customFormat="false" ht="15" hidden="false" customHeight="false" outlineLevel="0" collapsed="false">
      <c r="A15" s="4"/>
      <c r="B15" s="4"/>
      <c r="C15" s="4"/>
      <c r="D15" s="4"/>
      <c r="E15" s="4"/>
      <c r="F15" s="4"/>
      <c r="G15" s="4"/>
      <c r="H15" s="4"/>
    </row>
    <row r="16" customFormat="false" ht="19.5" hidden="false" customHeight="true" outlineLevel="0" collapsed="false">
      <c r="A16" s="8" t="s">
        <v>170</v>
      </c>
      <c r="B16" s="9"/>
      <c r="C16" s="9"/>
      <c r="D16" s="9"/>
      <c r="E16" s="9"/>
      <c r="F16" s="9"/>
      <c r="G16" s="9"/>
      <c r="H16" s="9"/>
    </row>
    <row r="17" customFormat="false" ht="15" hidden="false" customHeight="false" outlineLevel="0" collapsed="false">
      <c r="A17" s="7" t="s">
        <v>171</v>
      </c>
      <c r="B17" s="44" t="n">
        <f aca="false">Маркетинг!$B$14</f>
        <v>90000</v>
      </c>
      <c r="C17" s="4"/>
      <c r="D17" s="4"/>
      <c r="E17" s="4"/>
      <c r="F17" s="4"/>
      <c r="G17" s="4"/>
      <c r="H17" s="4"/>
    </row>
    <row r="18" customFormat="false" ht="15" hidden="false" customHeight="false" outlineLevel="0" collapsed="false">
      <c r="A18" s="7" t="s">
        <v>172</v>
      </c>
      <c r="B18" s="42" t="n">
        <f aca="false">Маркетинг!$F$14</f>
        <v>198</v>
      </c>
      <c r="C18" s="4"/>
      <c r="D18" s="4"/>
      <c r="E18" s="4"/>
      <c r="F18" s="4"/>
      <c r="G18" s="4"/>
      <c r="H18" s="4"/>
    </row>
    <row r="19" customFormat="false" ht="15" hidden="false" customHeight="false" outlineLevel="0" collapsed="false">
      <c r="A19" s="7" t="s">
        <v>173</v>
      </c>
      <c r="B19" s="42" t="n">
        <f aca="false">Билеты!$B$17</f>
        <v>192</v>
      </c>
      <c r="C19" s="4"/>
      <c r="D19" s="4"/>
      <c r="E19" s="4"/>
      <c r="F19" s="4"/>
      <c r="G19" s="4"/>
      <c r="H19" s="4"/>
    </row>
    <row r="20" customFormat="false" ht="15" hidden="false" customHeight="false" outlineLevel="0" collapsed="false">
      <c r="A20" s="7" t="s">
        <v>174</v>
      </c>
      <c r="B20" s="29" t="n">
        <f aca="false">IFERROR(Маркетинг!$F$14/Билеты!$B$17,0)</f>
        <v>1.03125</v>
      </c>
      <c r="C20" s="3" t="s">
        <v>175</v>
      </c>
      <c r="D20" s="4"/>
      <c r="E20" s="4"/>
      <c r="F20" s="4"/>
      <c r="G20" s="4"/>
      <c r="H20" s="4"/>
    </row>
    <row r="21" customFormat="false" ht="15" hidden="false" customHeight="false" outlineLevel="0" collapsed="false">
      <c r="A21" s="7" t="s">
        <v>176</v>
      </c>
      <c r="B21" s="44" t="n">
        <f aca="false">Маркетинг!$G$14</f>
        <v>454.545454545455</v>
      </c>
      <c r="C21" s="4"/>
      <c r="D21" s="4"/>
      <c r="E21" s="4"/>
      <c r="F21" s="4"/>
      <c r="G21" s="4"/>
      <c r="H21" s="4"/>
    </row>
    <row r="22" customFormat="false" ht="15" hidden="false" customHeight="false" outlineLevel="0" collapsed="false">
      <c r="A22" s="7" t="s">
        <v>121</v>
      </c>
      <c r="B22" s="44" t="n">
        <f aca="false">Билеты!$B$20</f>
        <v>2427.60416666667</v>
      </c>
      <c r="C22" s="4"/>
      <c r="D22" s="4"/>
      <c r="E22" s="4"/>
      <c r="F22" s="4"/>
      <c r="G22" s="4"/>
      <c r="H22" s="4"/>
    </row>
    <row r="23" customFormat="false" ht="15" hidden="false" customHeight="false" outlineLevel="0" collapsed="false">
      <c r="A23" s="7" t="s">
        <v>177</v>
      </c>
      <c r="B23" s="29" t="n">
        <f aca="false">IFERROR(Маркетинг!$G$14/Билеты!$B$20,0)</f>
        <v>0.187240350295489</v>
      </c>
      <c r="C23" s="3" t="s">
        <v>178</v>
      </c>
      <c r="D23" s="4"/>
      <c r="E23" s="4"/>
      <c r="F23" s="4"/>
      <c r="G23" s="4"/>
      <c r="H23" s="4"/>
    </row>
    <row r="24" customFormat="false" ht="15" hidden="false" customHeight="false" outlineLevel="0" collapsed="false">
      <c r="A24" s="7" t="s">
        <v>179</v>
      </c>
      <c r="B24" s="29" t="n">
        <f aca="false">IFERROR(Маркетинг!$B$14/Билеты!$F$12,0)</f>
        <v>0.193091611242223</v>
      </c>
      <c r="C24" s="3" t="s">
        <v>180</v>
      </c>
      <c r="D24" s="4"/>
      <c r="E24" s="4"/>
      <c r="F24" s="4"/>
      <c r="G24" s="4"/>
      <c r="H24" s="4"/>
    </row>
    <row r="25" customFormat="false" ht="15" hidden="false" customHeight="false" outlineLevel="0" collapsed="false">
      <c r="A25" s="7" t="s">
        <v>181</v>
      </c>
      <c r="B25" s="41" t="str">
        <f aca="false">IF(Маркетинг!$B$24&gt;0.2,"ПЕРЕРАСХОД: маркетинг забирает больше 20% сбора",IF(Маркетинг!$B$20&lt;1,"РИСК: маркетинг не покрывает план продаж","Норма: бюджет и план продаж сбалансированы"))</f>
        <v>Норма: бюджет и план продаж сбалансированы</v>
      </c>
      <c r="C25" s="4"/>
      <c r="D25" s="4"/>
      <c r="E25" s="4"/>
      <c r="F25" s="4"/>
      <c r="G25" s="4"/>
      <c r="H25" s="4"/>
    </row>
  </sheetData>
  <conditionalFormatting sqref="B25">
    <cfRule type="expression" priority="2" aboveAverage="0" equalAverage="0" bottom="0" percent="0" rank="0" text="" dxfId="0">
      <formula>$B$25&lt;&gt;"Норма: бюджет и план продаж сбалансированы"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9"/>
    <col collapsed="false" customWidth="true" hidden="false" outlineLevel="0" max="3" min="3" style="0" width="10"/>
    <col collapsed="false" customWidth="true" hidden="false" outlineLevel="0" max="4" min="4" style="0" width="15"/>
    <col collapsed="false" customWidth="true" hidden="false" outlineLevel="0" max="5" min="5" style="0" width="16"/>
    <col collapsed="false" customWidth="true" hidden="false" outlineLevel="0" max="6" min="6" style="0" width="15"/>
    <col collapsed="false" customWidth="true" hidden="false" outlineLevel="0" max="7" min="7" style="0" width="58"/>
  </cols>
  <sheetData>
    <row r="1" customFormat="false" ht="30" hidden="false" customHeight="true" outlineLevel="0" collapsed="false">
      <c r="A1" s="1" t="s">
        <v>182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3" t="s">
        <v>183</v>
      </c>
      <c r="B2" s="4"/>
      <c r="C2" s="4"/>
      <c r="D2" s="4"/>
      <c r="E2" s="4"/>
      <c r="F2" s="4"/>
      <c r="G2" s="4"/>
      <c r="H2" s="4"/>
    </row>
    <row r="3" customFormat="false" ht="15" hidden="false" customHeight="false" outlineLevel="0" collapsed="false">
      <c r="A3" s="4"/>
      <c r="B3" s="4"/>
      <c r="C3" s="4"/>
      <c r="D3" s="4"/>
      <c r="E3" s="4"/>
      <c r="F3" s="4"/>
      <c r="G3" s="4"/>
      <c r="H3" s="4"/>
    </row>
    <row r="4" customFormat="false" ht="30" hidden="false" customHeight="true" outlineLevel="0" collapsed="false">
      <c r="A4" s="31" t="s">
        <v>184</v>
      </c>
      <c r="B4" s="31" t="s">
        <v>185</v>
      </c>
      <c r="C4" s="31" t="s">
        <v>186</v>
      </c>
      <c r="D4" s="31" t="s">
        <v>187</v>
      </c>
      <c r="E4" s="31" t="s">
        <v>188</v>
      </c>
      <c r="F4" s="31" t="s">
        <v>189</v>
      </c>
      <c r="G4" s="31" t="s">
        <v>101</v>
      </c>
      <c r="H4" s="4"/>
    </row>
    <row r="5" customFormat="false" ht="15" hidden="false" customHeight="false" outlineLevel="0" collapsed="false">
      <c r="A5" s="53" t="s">
        <v>190</v>
      </c>
      <c r="B5" s="54"/>
      <c r="C5" s="54"/>
      <c r="D5" s="54"/>
      <c r="E5" s="54"/>
      <c r="F5" s="54"/>
      <c r="G5" s="54"/>
      <c r="H5" s="4"/>
    </row>
    <row r="6" customFormat="false" ht="15" hidden="false" customHeight="false" outlineLevel="0" collapsed="false">
      <c r="A6" s="55" t="s">
        <v>191</v>
      </c>
      <c r="B6" s="23" t="n">
        <v>1</v>
      </c>
      <c r="C6" s="56" t="s">
        <v>192</v>
      </c>
      <c r="D6" s="30" t="n">
        <v>60000</v>
      </c>
      <c r="E6" s="34" t="n">
        <f aca="false">IF($F6="Площадка",0,B6*D6)</f>
        <v>0</v>
      </c>
      <c r="F6" s="57" t="s">
        <v>45</v>
      </c>
      <c r="G6" s="36" t="s">
        <v>193</v>
      </c>
      <c r="H6" s="4"/>
    </row>
    <row r="7" customFormat="false" ht="15" hidden="false" customHeight="false" outlineLevel="0" collapsed="false">
      <c r="A7" s="55" t="s">
        <v>194</v>
      </c>
      <c r="B7" s="23" t="n">
        <v>4</v>
      </c>
      <c r="C7" s="56" t="s">
        <v>195</v>
      </c>
      <c r="D7" s="30" t="n">
        <v>5000</v>
      </c>
      <c r="E7" s="34" t="n">
        <f aca="false">IF($F7="Площадка",0,B7*D7)</f>
        <v>0</v>
      </c>
      <c r="F7" s="57" t="s">
        <v>45</v>
      </c>
      <c r="G7" s="36" t="s">
        <v>196</v>
      </c>
      <c r="H7" s="4"/>
    </row>
    <row r="8" customFormat="false" ht="15" hidden="false" customHeight="false" outlineLevel="0" collapsed="false">
      <c r="A8" s="55" t="s">
        <v>197</v>
      </c>
      <c r="B8" s="23" t="n">
        <v>1</v>
      </c>
      <c r="C8" s="56" t="s">
        <v>198</v>
      </c>
      <c r="D8" s="30" t="n">
        <v>45000</v>
      </c>
      <c r="E8" s="34" t="n">
        <f aca="false">IF($F8="Площадка",0,B8*D8)</f>
        <v>0</v>
      </c>
      <c r="F8" s="57" t="s">
        <v>45</v>
      </c>
      <c r="G8" s="36" t="s">
        <v>199</v>
      </c>
      <c r="H8" s="4"/>
    </row>
    <row r="9" customFormat="false" ht="15" hidden="false" customHeight="false" outlineLevel="0" collapsed="false">
      <c r="A9" s="55" t="s">
        <v>200</v>
      </c>
      <c r="B9" s="23" t="n">
        <v>1</v>
      </c>
      <c r="C9" s="56" t="s">
        <v>198</v>
      </c>
      <c r="D9" s="30" t="n">
        <v>12000</v>
      </c>
      <c r="E9" s="34" t="n">
        <f aca="false">IF($F9="Площадка",0,B9*D9)</f>
        <v>12000</v>
      </c>
      <c r="F9" s="57" t="s">
        <v>201</v>
      </c>
      <c r="G9" s="36" t="s">
        <v>202</v>
      </c>
      <c r="H9" s="4"/>
    </row>
    <row r="10" customFormat="false" ht="15" hidden="false" customHeight="false" outlineLevel="0" collapsed="false">
      <c r="A10" s="55" t="s">
        <v>203</v>
      </c>
      <c r="B10" s="23" t="n">
        <v>1</v>
      </c>
      <c r="C10" s="56" t="s">
        <v>198</v>
      </c>
      <c r="D10" s="30" t="n">
        <v>15000</v>
      </c>
      <c r="E10" s="34" t="n">
        <f aca="false">IF($F10="Площадка",0,B10*D10)</f>
        <v>15000</v>
      </c>
      <c r="F10" s="57" t="s">
        <v>201</v>
      </c>
      <c r="G10" s="36" t="s">
        <v>204</v>
      </c>
      <c r="H10" s="4"/>
    </row>
    <row r="11" customFormat="false" ht="15" hidden="false" customHeight="false" outlineLevel="0" collapsed="false">
      <c r="A11" s="55" t="s">
        <v>205</v>
      </c>
      <c r="B11" s="23" t="n">
        <v>1</v>
      </c>
      <c r="C11" s="56" t="s">
        <v>192</v>
      </c>
      <c r="D11" s="30" t="n">
        <v>20000</v>
      </c>
      <c r="E11" s="34" t="n">
        <f aca="false">IF($F11="Площадка",0,B11*D11)</f>
        <v>20000</v>
      </c>
      <c r="F11" s="57" t="s">
        <v>201</v>
      </c>
      <c r="G11" s="36" t="s">
        <v>206</v>
      </c>
      <c r="H11" s="4"/>
    </row>
    <row r="12" customFormat="false" ht="15" hidden="false" customHeight="false" outlineLevel="0" collapsed="false">
      <c r="A12" s="55" t="s">
        <v>207</v>
      </c>
      <c r="B12" s="23" t="n">
        <v>1</v>
      </c>
      <c r="C12" s="56" t="s">
        <v>192</v>
      </c>
      <c r="D12" s="30" t="n">
        <v>12000</v>
      </c>
      <c r="E12" s="34" t="n">
        <f aca="false">IF($F12="Площадка",0,B12*D12)</f>
        <v>0</v>
      </c>
      <c r="F12" s="57" t="s">
        <v>45</v>
      </c>
      <c r="G12" s="36" t="s">
        <v>208</v>
      </c>
      <c r="H12" s="4"/>
    </row>
    <row r="13" customFormat="false" ht="15" hidden="false" customHeight="false" outlineLevel="0" collapsed="false">
      <c r="A13" s="55" t="s">
        <v>209</v>
      </c>
      <c r="B13" s="23" t="n">
        <v>1</v>
      </c>
      <c r="C13" s="56" t="s">
        <v>198</v>
      </c>
      <c r="D13" s="30" t="n">
        <v>25000</v>
      </c>
      <c r="E13" s="34" t="n">
        <f aca="false">IF($F13="Площадка",0,B13*D13)</f>
        <v>0</v>
      </c>
      <c r="F13" s="57" t="s">
        <v>45</v>
      </c>
      <c r="G13" s="36" t="s">
        <v>210</v>
      </c>
      <c r="H13" s="4"/>
    </row>
    <row r="14" customFormat="false" ht="15" hidden="false" customHeight="false" outlineLevel="0" collapsed="false">
      <c r="A14" s="55" t="s">
        <v>211</v>
      </c>
      <c r="B14" s="23" t="n">
        <v>1</v>
      </c>
      <c r="C14" s="56" t="s">
        <v>192</v>
      </c>
      <c r="D14" s="30" t="n">
        <v>12000</v>
      </c>
      <c r="E14" s="34" t="n">
        <f aca="false">IF($F14="Площадка",0,B14*D14)</f>
        <v>12000</v>
      </c>
      <c r="F14" s="57" t="s">
        <v>201</v>
      </c>
      <c r="G14" s="36" t="s">
        <v>212</v>
      </c>
      <c r="H14" s="4"/>
    </row>
    <row r="15" customFormat="false" ht="15" hidden="false" customHeight="false" outlineLevel="0" collapsed="false">
      <c r="A15" s="55" t="s">
        <v>213</v>
      </c>
      <c r="B15" s="23" t="n">
        <v>1</v>
      </c>
      <c r="C15" s="56" t="s">
        <v>198</v>
      </c>
      <c r="D15" s="30" t="n">
        <v>20000</v>
      </c>
      <c r="E15" s="34" t="n">
        <f aca="false">IF($F15="Площадка",0,B15*D15)</f>
        <v>20000</v>
      </c>
      <c r="F15" s="57" t="s">
        <v>201</v>
      </c>
      <c r="G15" s="36" t="s">
        <v>214</v>
      </c>
      <c r="H15" s="4"/>
    </row>
    <row r="16" customFormat="false" ht="15" hidden="false" customHeight="false" outlineLevel="0" collapsed="false">
      <c r="A16" s="55" t="s">
        <v>215</v>
      </c>
      <c r="B16" s="23" t="n">
        <v>0</v>
      </c>
      <c r="C16" s="56" t="s">
        <v>198</v>
      </c>
      <c r="D16" s="30" t="n">
        <v>18000</v>
      </c>
      <c r="E16" s="34" t="n">
        <f aca="false">IF($F16="Площадка",0,B16*D16)</f>
        <v>0</v>
      </c>
      <c r="F16" s="57" t="s">
        <v>201</v>
      </c>
      <c r="G16" s="36" t="s">
        <v>216</v>
      </c>
      <c r="H16" s="4"/>
    </row>
    <row r="17" customFormat="false" ht="15" hidden="false" customHeight="false" outlineLevel="0" collapsed="false">
      <c r="A17" s="55" t="s">
        <v>217</v>
      </c>
      <c r="B17" s="23" t="n">
        <v>1</v>
      </c>
      <c r="C17" s="56" t="s">
        <v>198</v>
      </c>
      <c r="D17" s="30" t="n">
        <v>5000</v>
      </c>
      <c r="E17" s="34" t="n">
        <f aca="false">IF($F17="Площадка",0,B17*D17)</f>
        <v>0</v>
      </c>
      <c r="F17" s="57" t="s">
        <v>45</v>
      </c>
      <c r="G17" s="36"/>
      <c r="H17" s="4"/>
    </row>
    <row r="18" customFormat="false" ht="15" hidden="false" customHeight="false" outlineLevel="0" collapsed="false">
      <c r="A18" s="55" t="s">
        <v>218</v>
      </c>
      <c r="B18" s="23" t="n">
        <v>3</v>
      </c>
      <c r="C18" s="56" t="s">
        <v>219</v>
      </c>
      <c r="D18" s="30" t="n">
        <v>4000</v>
      </c>
      <c r="E18" s="34" t="n">
        <f aca="false">IF($F18="Площадка",0,B18*D18)</f>
        <v>12000</v>
      </c>
      <c r="F18" s="57" t="s">
        <v>201</v>
      </c>
      <c r="G18" s="36" t="s">
        <v>220</v>
      </c>
      <c r="H18" s="4"/>
    </row>
    <row r="19" customFormat="false" ht="15" hidden="false" customHeight="false" outlineLevel="0" collapsed="false">
      <c r="A19" s="37" t="s">
        <v>221</v>
      </c>
      <c r="B19" s="38"/>
      <c r="C19" s="38"/>
      <c r="D19" s="38"/>
      <c r="E19" s="40" t="n">
        <f aca="false">SUM(E6:E18)</f>
        <v>91000</v>
      </c>
      <c r="F19" s="38"/>
      <c r="G19" s="38"/>
      <c r="H19" s="4"/>
    </row>
    <row r="20" customFormat="false" ht="15" hidden="false" customHeight="false" outlineLevel="0" collapsed="false">
      <c r="A20" s="4"/>
      <c r="B20" s="4"/>
      <c r="C20" s="4"/>
      <c r="D20" s="4"/>
      <c r="E20" s="4"/>
      <c r="F20" s="4"/>
      <c r="G20" s="4"/>
      <c r="H20" s="4"/>
    </row>
    <row r="21" customFormat="false" ht="15" hidden="false" customHeight="false" outlineLevel="0" collapsed="false">
      <c r="A21" s="53" t="s">
        <v>222</v>
      </c>
      <c r="B21" s="54"/>
      <c r="C21" s="54"/>
      <c r="D21" s="54"/>
      <c r="E21" s="54"/>
      <c r="F21" s="54"/>
      <c r="G21" s="54"/>
      <c r="H21" s="4"/>
    </row>
    <row r="22" customFormat="false" ht="15" hidden="false" customHeight="false" outlineLevel="0" collapsed="false">
      <c r="A22" s="55" t="s">
        <v>223</v>
      </c>
      <c r="B22" s="23" t="n">
        <v>1</v>
      </c>
      <c r="C22" s="56" t="s">
        <v>192</v>
      </c>
      <c r="D22" s="30" t="n">
        <v>10000</v>
      </c>
      <c r="E22" s="34" t="n">
        <f aca="false">IF($F22="Площадка",0,B22*D22)</f>
        <v>0</v>
      </c>
      <c r="F22" s="57" t="s">
        <v>45</v>
      </c>
      <c r="G22" s="36"/>
      <c r="H22" s="4"/>
    </row>
    <row r="23" customFormat="false" ht="15" hidden="false" customHeight="false" outlineLevel="0" collapsed="false">
      <c r="A23" s="55" t="s">
        <v>224</v>
      </c>
      <c r="B23" s="23" t="n">
        <v>2</v>
      </c>
      <c r="C23" s="56" t="s">
        <v>219</v>
      </c>
      <c r="D23" s="30" t="n">
        <v>4000</v>
      </c>
      <c r="E23" s="34" t="n">
        <f aca="false">IF($F23="Площадка",0,B23*D23)</f>
        <v>0</v>
      </c>
      <c r="F23" s="57" t="s">
        <v>45</v>
      </c>
      <c r="G23" s="36"/>
      <c r="H23" s="4"/>
    </row>
    <row r="24" customFormat="false" ht="15" hidden="false" customHeight="false" outlineLevel="0" collapsed="false">
      <c r="A24" s="55" t="s">
        <v>225</v>
      </c>
      <c r="B24" s="23" t="n">
        <v>2</v>
      </c>
      <c r="C24" s="56" t="s">
        <v>219</v>
      </c>
      <c r="D24" s="30" t="n">
        <v>3500</v>
      </c>
      <c r="E24" s="34" t="n">
        <f aca="false">IF($F24="Площадка",0,B24*D24)</f>
        <v>0</v>
      </c>
      <c r="F24" s="57" t="s">
        <v>45</v>
      </c>
      <c r="G24" s="36"/>
      <c r="H24" s="4"/>
    </row>
    <row r="25" customFormat="false" ht="15" hidden="false" customHeight="false" outlineLevel="0" collapsed="false">
      <c r="A25" s="55" t="s">
        <v>226</v>
      </c>
      <c r="B25" s="23" t="n">
        <v>4</v>
      </c>
      <c r="C25" s="56" t="s">
        <v>219</v>
      </c>
      <c r="D25" s="30" t="n">
        <v>5000</v>
      </c>
      <c r="E25" s="34" t="n">
        <f aca="false">IF($F25="Площадка",0,B25*D25)</f>
        <v>0</v>
      </c>
      <c r="F25" s="57" t="s">
        <v>45</v>
      </c>
      <c r="G25" s="36" t="s">
        <v>227</v>
      </c>
      <c r="H25" s="4"/>
    </row>
    <row r="26" customFormat="false" ht="15" hidden="false" customHeight="false" outlineLevel="0" collapsed="false">
      <c r="A26" s="55" t="s">
        <v>228</v>
      </c>
      <c r="B26" s="23" t="n">
        <v>2</v>
      </c>
      <c r="C26" s="56" t="s">
        <v>219</v>
      </c>
      <c r="D26" s="30" t="n">
        <v>3500</v>
      </c>
      <c r="E26" s="34" t="n">
        <f aca="false">IF($F26="Площадка",0,B26*D26)</f>
        <v>0</v>
      </c>
      <c r="F26" s="57" t="s">
        <v>45</v>
      </c>
      <c r="G26" s="36"/>
      <c r="H26" s="4"/>
    </row>
    <row r="27" customFormat="false" ht="15" hidden="false" customHeight="false" outlineLevel="0" collapsed="false">
      <c r="A27" s="55" t="s">
        <v>229</v>
      </c>
      <c r="B27" s="23" t="n">
        <v>1</v>
      </c>
      <c r="C27" s="56" t="s">
        <v>192</v>
      </c>
      <c r="D27" s="30" t="n">
        <v>6000</v>
      </c>
      <c r="E27" s="34" t="n">
        <f aca="false">IF($F27="Площадка",0,B27*D27)</f>
        <v>0</v>
      </c>
      <c r="F27" s="57" t="s">
        <v>45</v>
      </c>
      <c r="G27" s="36" t="s">
        <v>230</v>
      </c>
      <c r="H27" s="4"/>
    </row>
    <row r="28" customFormat="false" ht="15" hidden="false" customHeight="false" outlineLevel="0" collapsed="false">
      <c r="A28" s="55" t="s">
        <v>231</v>
      </c>
      <c r="B28" s="23" t="n">
        <v>1</v>
      </c>
      <c r="C28" s="56" t="s">
        <v>192</v>
      </c>
      <c r="D28" s="30" t="n">
        <v>15000</v>
      </c>
      <c r="E28" s="34" t="n">
        <f aca="false">IF($F28="Площадка",0,B28*D28)</f>
        <v>15000</v>
      </c>
      <c r="F28" s="57" t="s">
        <v>201</v>
      </c>
      <c r="G28" s="36" t="s">
        <v>232</v>
      </c>
      <c r="H28" s="4"/>
    </row>
    <row r="29" customFormat="false" ht="15" hidden="false" customHeight="false" outlineLevel="0" collapsed="false">
      <c r="A29" s="55" t="s">
        <v>233</v>
      </c>
      <c r="B29" s="23" t="n">
        <v>1</v>
      </c>
      <c r="C29" s="56" t="s">
        <v>192</v>
      </c>
      <c r="D29" s="30" t="n">
        <v>25000</v>
      </c>
      <c r="E29" s="34" t="n">
        <f aca="false">IF($F29="Площадка",0,B29*D29)</f>
        <v>25000</v>
      </c>
      <c r="F29" s="57" t="s">
        <v>201</v>
      </c>
      <c r="G29" s="36" t="s">
        <v>234</v>
      </c>
      <c r="H29" s="4"/>
    </row>
    <row r="30" customFormat="false" ht="15" hidden="false" customHeight="false" outlineLevel="0" collapsed="false">
      <c r="A30" s="55" t="s">
        <v>235</v>
      </c>
      <c r="B30" s="23" t="n">
        <v>0</v>
      </c>
      <c r="C30" s="56" t="s">
        <v>236</v>
      </c>
      <c r="D30" s="30" t="n">
        <v>30000</v>
      </c>
      <c r="E30" s="34" t="n">
        <f aca="false">IF($F30="Площадка",0,B30*D30)</f>
        <v>0</v>
      </c>
      <c r="F30" s="57" t="s">
        <v>201</v>
      </c>
      <c r="G30" s="36" t="s">
        <v>237</v>
      </c>
      <c r="H30" s="4"/>
    </row>
    <row r="31" customFormat="false" ht="15" hidden="false" customHeight="false" outlineLevel="0" collapsed="false">
      <c r="A31" s="37" t="s">
        <v>238</v>
      </c>
      <c r="B31" s="38"/>
      <c r="C31" s="38"/>
      <c r="D31" s="38"/>
      <c r="E31" s="40" t="n">
        <f aca="false">SUM(E22:E30)</f>
        <v>40000</v>
      </c>
      <c r="F31" s="38"/>
      <c r="G31" s="38"/>
      <c r="H31" s="4"/>
    </row>
    <row r="32" customFormat="false" ht="15" hidden="false" customHeight="false" outlineLevel="0" collapsed="false">
      <c r="A32" s="4"/>
      <c r="B32" s="4"/>
      <c r="C32" s="4"/>
      <c r="D32" s="4"/>
      <c r="E32" s="4"/>
      <c r="F32" s="4"/>
      <c r="G32" s="4"/>
      <c r="H32" s="4"/>
    </row>
    <row r="33" customFormat="false" ht="15" hidden="false" customHeight="false" outlineLevel="0" collapsed="false">
      <c r="A33" s="53" t="s">
        <v>239</v>
      </c>
      <c r="B33" s="54"/>
      <c r="C33" s="54"/>
      <c r="D33" s="54"/>
      <c r="E33" s="54"/>
      <c r="F33" s="54"/>
      <c r="G33" s="54"/>
      <c r="H33" s="4"/>
    </row>
    <row r="34" customFormat="false" ht="15" hidden="false" customHeight="false" outlineLevel="0" collapsed="false">
      <c r="A34" s="55" t="s">
        <v>240</v>
      </c>
      <c r="B34" s="23" t="n">
        <v>2</v>
      </c>
      <c r="C34" s="56" t="s">
        <v>192</v>
      </c>
      <c r="D34" s="30" t="n">
        <v>6000</v>
      </c>
      <c r="E34" s="34" t="n">
        <f aca="false">IF($F34="Площадка",0,B34*D34)</f>
        <v>12000</v>
      </c>
      <c r="F34" s="57" t="s">
        <v>201</v>
      </c>
      <c r="G34" s="36" t="s">
        <v>241</v>
      </c>
      <c r="H34" s="4"/>
    </row>
    <row r="35" customFormat="false" ht="15" hidden="false" customHeight="false" outlineLevel="0" collapsed="false">
      <c r="A35" s="55" t="s">
        <v>242</v>
      </c>
      <c r="B35" s="23" t="n">
        <v>2</v>
      </c>
      <c r="C35" s="56" t="s">
        <v>243</v>
      </c>
      <c r="D35" s="30" t="n">
        <v>8000</v>
      </c>
      <c r="E35" s="34" t="n">
        <f aca="false">IF($F35="Площадка",0,B35*D35)</f>
        <v>16000</v>
      </c>
      <c r="F35" s="57" t="s">
        <v>201</v>
      </c>
      <c r="G35" s="36" t="s">
        <v>244</v>
      </c>
      <c r="H35" s="4"/>
    </row>
    <row r="36" customFormat="false" ht="15" hidden="false" customHeight="false" outlineLevel="0" collapsed="false">
      <c r="A36" s="55" t="s">
        <v>245</v>
      </c>
      <c r="B36" s="23" t="n">
        <v>0</v>
      </c>
      <c r="C36" s="56" t="s">
        <v>198</v>
      </c>
      <c r="D36" s="30" t="n">
        <v>25000</v>
      </c>
      <c r="E36" s="34" t="n">
        <f aca="false">IF($F36="Площадка",0,B36*D36)</f>
        <v>0</v>
      </c>
      <c r="F36" s="57" t="s">
        <v>201</v>
      </c>
      <c r="G36" s="36" t="s">
        <v>246</v>
      </c>
      <c r="H36" s="4"/>
    </row>
    <row r="37" customFormat="false" ht="15" hidden="false" customHeight="false" outlineLevel="0" collapsed="false">
      <c r="A37" s="55" t="s">
        <v>247</v>
      </c>
      <c r="B37" s="23" t="n">
        <v>15</v>
      </c>
      <c r="C37" s="56" t="s">
        <v>219</v>
      </c>
      <c r="D37" s="30" t="n">
        <v>800</v>
      </c>
      <c r="E37" s="34" t="n">
        <f aca="false">IF($F37="Площадка",0,B37*D37)</f>
        <v>12000</v>
      </c>
      <c r="F37" s="57" t="s">
        <v>201</v>
      </c>
      <c r="G37" s="36" t="s">
        <v>248</v>
      </c>
      <c r="H37" s="4"/>
    </row>
    <row r="38" customFormat="false" ht="15" hidden="false" customHeight="false" outlineLevel="0" collapsed="false">
      <c r="A38" s="55" t="s">
        <v>249</v>
      </c>
      <c r="B38" s="23" t="n">
        <v>1</v>
      </c>
      <c r="C38" s="56" t="s">
        <v>198</v>
      </c>
      <c r="D38" s="30" t="n">
        <v>3000</v>
      </c>
      <c r="E38" s="34" t="n">
        <f aca="false">IF($F38="Площадка",0,B38*D38)</f>
        <v>3000</v>
      </c>
      <c r="F38" s="57" t="s">
        <v>201</v>
      </c>
      <c r="G38" s="36"/>
      <c r="H38" s="4"/>
    </row>
    <row r="39" customFormat="false" ht="15" hidden="false" customHeight="false" outlineLevel="0" collapsed="false">
      <c r="A39" s="55" t="s">
        <v>250</v>
      </c>
      <c r="B39" s="23" t="n">
        <v>1</v>
      </c>
      <c r="C39" s="56" t="s">
        <v>251</v>
      </c>
      <c r="D39" s="30" t="n">
        <v>12000</v>
      </c>
      <c r="E39" s="34" t="n">
        <f aca="false">IF($F39="Площадка",0,B39*D39)</f>
        <v>12000</v>
      </c>
      <c r="F39" s="57" t="s">
        <v>201</v>
      </c>
      <c r="G39" s="36" t="s">
        <v>252</v>
      </c>
      <c r="H39" s="4"/>
    </row>
    <row r="40" customFormat="false" ht="15" hidden="false" customHeight="false" outlineLevel="0" collapsed="false">
      <c r="A40" s="55" t="s">
        <v>253</v>
      </c>
      <c r="B40" s="23" t="n">
        <v>1</v>
      </c>
      <c r="C40" s="56" t="s">
        <v>251</v>
      </c>
      <c r="D40" s="30" t="n">
        <v>6000</v>
      </c>
      <c r="E40" s="34" t="n">
        <f aca="false">IF($F40="Площадка",0,B40*D40)</f>
        <v>6000</v>
      </c>
      <c r="F40" s="57" t="s">
        <v>201</v>
      </c>
      <c r="G40" s="36"/>
      <c r="H40" s="4"/>
    </row>
    <row r="41" customFormat="false" ht="15" hidden="false" customHeight="false" outlineLevel="0" collapsed="false">
      <c r="A41" s="55" t="s">
        <v>254</v>
      </c>
      <c r="B41" s="23" t="n">
        <v>1</v>
      </c>
      <c r="C41" s="56" t="s">
        <v>198</v>
      </c>
      <c r="D41" s="30" t="n">
        <v>15000</v>
      </c>
      <c r="E41" s="34" t="n">
        <f aca="false">IF($F41="Площадка",0,B41*D41)</f>
        <v>15000</v>
      </c>
      <c r="F41" s="57" t="s">
        <v>201</v>
      </c>
      <c r="G41" s="36" t="s">
        <v>255</v>
      </c>
      <c r="H41" s="4"/>
    </row>
    <row r="42" customFormat="false" ht="15" hidden="false" customHeight="false" outlineLevel="0" collapsed="false">
      <c r="A42" s="37" t="s">
        <v>256</v>
      </c>
      <c r="B42" s="38"/>
      <c r="C42" s="38"/>
      <c r="D42" s="38"/>
      <c r="E42" s="40" t="n">
        <f aca="false">SUM(E34:E41)</f>
        <v>76000</v>
      </c>
      <c r="F42" s="38"/>
      <c r="G42" s="38"/>
      <c r="H42" s="4"/>
    </row>
    <row r="43" customFormat="false" ht="15" hidden="false" customHeight="false" outlineLevel="0" collapsed="false">
      <c r="A43" s="4"/>
      <c r="B43" s="4"/>
      <c r="C43" s="4"/>
      <c r="D43" s="4"/>
      <c r="E43" s="4"/>
      <c r="F43" s="4"/>
      <c r="G43" s="4"/>
      <c r="H43" s="4"/>
    </row>
    <row r="44" customFormat="false" ht="15" hidden="false" customHeight="false" outlineLevel="0" collapsed="false">
      <c r="A44" s="53" t="s">
        <v>257</v>
      </c>
      <c r="B44" s="54"/>
      <c r="C44" s="54"/>
      <c r="D44" s="54"/>
      <c r="E44" s="54"/>
      <c r="F44" s="54"/>
      <c r="G44" s="54"/>
      <c r="H44" s="4"/>
    </row>
    <row r="45" customFormat="false" ht="15" hidden="false" customHeight="false" outlineLevel="0" collapsed="false">
      <c r="A45" s="55" t="s">
        <v>258</v>
      </c>
      <c r="B45" s="23" t="n">
        <v>0</v>
      </c>
      <c r="C45" s="56" t="s">
        <v>259</v>
      </c>
      <c r="D45" s="30" t="n">
        <v>12000</v>
      </c>
      <c r="E45" s="34" t="n">
        <f aca="false">IF($F45="Площадка",0,B45*D45)</f>
        <v>0</v>
      </c>
      <c r="F45" s="57" t="s">
        <v>201</v>
      </c>
      <c r="G45" s="36" t="s">
        <v>260</v>
      </c>
      <c r="H45" s="4"/>
    </row>
    <row r="46" customFormat="false" ht="15" hidden="false" customHeight="false" outlineLevel="0" collapsed="false">
      <c r="A46" s="55" t="s">
        <v>261</v>
      </c>
      <c r="B46" s="23" t="n">
        <v>1</v>
      </c>
      <c r="C46" s="56" t="s">
        <v>236</v>
      </c>
      <c r="D46" s="30" t="n">
        <v>8000</v>
      </c>
      <c r="E46" s="34" t="n">
        <f aca="false">IF($F46="Площадка",0,B46*D46)</f>
        <v>8000</v>
      </c>
      <c r="F46" s="57" t="s">
        <v>201</v>
      </c>
      <c r="G46" s="36" t="s">
        <v>262</v>
      </c>
      <c r="H46" s="4"/>
    </row>
    <row r="47" customFormat="false" ht="15" hidden="false" customHeight="false" outlineLevel="0" collapsed="false">
      <c r="A47" s="55" t="s">
        <v>263</v>
      </c>
      <c r="B47" s="23" t="n">
        <v>1</v>
      </c>
      <c r="C47" s="56" t="s">
        <v>236</v>
      </c>
      <c r="D47" s="30" t="n">
        <v>5000</v>
      </c>
      <c r="E47" s="34" t="n">
        <f aca="false">IF($F47="Площадка",0,B47*D47)</f>
        <v>5000</v>
      </c>
      <c r="F47" s="57" t="s">
        <v>201</v>
      </c>
      <c r="G47" s="36"/>
      <c r="H47" s="4"/>
    </row>
    <row r="48" customFormat="false" ht="15" hidden="false" customHeight="false" outlineLevel="0" collapsed="false">
      <c r="A48" s="55" t="s">
        <v>264</v>
      </c>
      <c r="B48" s="23" t="n">
        <v>1</v>
      </c>
      <c r="C48" s="56" t="s">
        <v>236</v>
      </c>
      <c r="D48" s="30" t="n">
        <v>3000</v>
      </c>
      <c r="E48" s="34" t="n">
        <f aca="false">IF($F48="Площадка",0,B48*D48)</f>
        <v>3000</v>
      </c>
      <c r="F48" s="57" t="s">
        <v>201</v>
      </c>
      <c r="G48" s="36" t="s">
        <v>265</v>
      </c>
      <c r="H48" s="4"/>
    </row>
    <row r="49" customFormat="false" ht="15" hidden="false" customHeight="false" outlineLevel="0" collapsed="false">
      <c r="A49" s="37" t="s">
        <v>266</v>
      </c>
      <c r="B49" s="38"/>
      <c r="C49" s="38"/>
      <c r="D49" s="38"/>
      <c r="E49" s="40" t="n">
        <f aca="false">SUM(E45:E48)</f>
        <v>16000</v>
      </c>
      <c r="F49" s="38"/>
      <c r="G49" s="38"/>
      <c r="H49" s="4"/>
    </row>
    <row r="50" customFormat="false" ht="15" hidden="false" customHeight="false" outlineLevel="0" collapsed="false">
      <c r="A50" s="4"/>
      <c r="B50" s="4"/>
      <c r="C50" s="4"/>
      <c r="D50" s="4"/>
      <c r="E50" s="4"/>
      <c r="F50" s="4"/>
      <c r="G50" s="4"/>
      <c r="H50" s="4"/>
    </row>
    <row r="51" customFormat="false" ht="15" hidden="false" customHeight="false" outlineLevel="0" collapsed="false">
      <c r="A51" s="53" t="s">
        <v>267</v>
      </c>
      <c r="B51" s="54"/>
      <c r="C51" s="54"/>
      <c r="D51" s="54"/>
      <c r="E51" s="54"/>
      <c r="F51" s="54"/>
      <c r="G51" s="54"/>
      <c r="H51" s="4"/>
    </row>
    <row r="52" customFormat="false" ht="15" hidden="false" customHeight="false" outlineLevel="0" collapsed="false">
      <c r="A52" s="55" t="s">
        <v>268</v>
      </c>
      <c r="B52" s="47"/>
      <c r="C52" s="47"/>
      <c r="D52" s="47"/>
      <c r="E52" s="58" t="n">
        <f aca="false">Маркетинг!$B$14</f>
        <v>90000</v>
      </c>
      <c r="F52" s="59" t="s">
        <v>201</v>
      </c>
      <c r="G52" s="36" t="s">
        <v>269</v>
      </c>
      <c r="H52" s="4"/>
    </row>
    <row r="53" customFormat="false" ht="15" hidden="false" customHeight="false" outlineLevel="0" collapsed="false">
      <c r="A53" s="37" t="s">
        <v>270</v>
      </c>
      <c r="B53" s="38"/>
      <c r="C53" s="38"/>
      <c r="D53" s="38"/>
      <c r="E53" s="40" t="n">
        <f aca="false">E52</f>
        <v>90000</v>
      </c>
      <c r="F53" s="38"/>
      <c r="G53" s="38"/>
      <c r="H53" s="4"/>
    </row>
    <row r="54" customFormat="false" ht="15" hidden="false" customHeight="false" outlineLevel="0" collapsed="false">
      <c r="A54" s="4"/>
      <c r="B54" s="4"/>
      <c r="C54" s="4"/>
      <c r="D54" s="4"/>
      <c r="E54" s="4"/>
      <c r="F54" s="4"/>
      <c r="G54" s="4"/>
      <c r="H54" s="4"/>
    </row>
    <row r="55" customFormat="false" ht="19.5" hidden="false" customHeight="true" outlineLevel="0" collapsed="false">
      <c r="A55" s="8" t="s">
        <v>271</v>
      </c>
      <c r="B55" s="9"/>
      <c r="C55" s="9"/>
      <c r="D55" s="9"/>
      <c r="E55" s="9"/>
      <c r="F55" s="9"/>
      <c r="G55" s="9"/>
      <c r="H55" s="9"/>
    </row>
    <row r="56" customFormat="false" ht="15" hidden="false" customHeight="false" outlineLevel="0" collapsed="false">
      <c r="A56" s="6" t="s">
        <v>272</v>
      </c>
      <c r="B56" s="4"/>
      <c r="C56" s="4"/>
      <c r="D56" s="4"/>
      <c r="E56" s="60" t="n">
        <f aca="false">E19+E31+E42+E49+E53</f>
        <v>313000</v>
      </c>
      <c r="F56" s="4"/>
      <c r="G56" s="4"/>
      <c r="H56" s="4"/>
    </row>
    <row r="57" customFormat="false" ht="15" hidden="false" customHeight="false" outlineLevel="0" collapsed="false">
      <c r="A57" s="7" t="s">
        <v>273</v>
      </c>
      <c r="B57" s="4"/>
      <c r="C57" s="4"/>
      <c r="D57" s="4"/>
      <c r="E57" s="34" t="n">
        <f aca="false">E56*Вводные!$B$42</f>
        <v>31300</v>
      </c>
      <c r="F57" s="4"/>
      <c r="G57" s="3" t="s">
        <v>274</v>
      </c>
      <c r="H57" s="4"/>
    </row>
    <row r="58" customFormat="false" ht="21.75" hidden="false" customHeight="true" outlineLevel="0" collapsed="false">
      <c r="A58" s="61" t="s">
        <v>275</v>
      </c>
      <c r="B58" s="62"/>
      <c r="C58" s="62"/>
      <c r="D58" s="62"/>
      <c r="E58" s="63" t="n">
        <f aca="false">E56+E57</f>
        <v>344300</v>
      </c>
      <c r="F58" s="62"/>
      <c r="G58" s="62"/>
      <c r="H58" s="4"/>
    </row>
    <row r="59" customFormat="false" ht="15" hidden="false" customHeight="false" outlineLevel="0" collapsed="false">
      <c r="A59" s="4"/>
      <c r="B59" s="4"/>
      <c r="C59" s="4"/>
      <c r="D59" s="4"/>
      <c r="E59" s="4"/>
      <c r="F59" s="4"/>
      <c r="G59" s="4"/>
      <c r="H59" s="4"/>
    </row>
    <row r="60" customFormat="false" ht="15" hidden="false" customHeight="false" outlineLevel="0" collapsed="false">
      <c r="A60" s="5" t="s">
        <v>276</v>
      </c>
      <c r="B60" s="4"/>
      <c r="C60" s="4"/>
      <c r="D60" s="4"/>
      <c r="E60" s="64" t="n">
        <f aca="false">SUMPRODUCT(($F$6:$F$18="Площадка")*$B$6:$B$18*$D$6:$D$18)+SUMPRODUCT(($F$22:$F$30="Площадка")*$B$22:$B$30*$D$22:$D$30)+SUMPRODUCT(($F$34:$F$41="Площадка")*$B$34:$B$41*$D$34:$D$41)+SUMPRODUCT(($F$45:$F$48="Площадка")*$B$45:$B$48*$D$45:$D$48)</f>
        <v>225000</v>
      </c>
      <c r="F60" s="4"/>
      <c r="G60" s="3" t="s">
        <v>277</v>
      </c>
      <c r="H60" s="4"/>
    </row>
  </sheetData>
  <dataValidations count="1">
    <dataValidation allowBlank="false" errorStyle="stop" operator="between" showDropDown="false" showErrorMessage="false" showInputMessage="false" sqref="F6:F18 F22:F30 F34:F41 F45:F48" type="list">
      <formula1>"Организатор,Площадка"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62"/>
  </cols>
  <sheetData>
    <row r="1" customFormat="false" ht="30" hidden="false" customHeight="true" outlineLevel="0" collapsed="false">
      <c r="A1" s="1" t="s">
        <v>278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3" t="s">
        <v>279</v>
      </c>
      <c r="B2" s="4"/>
      <c r="C2" s="4"/>
      <c r="D2" s="4"/>
      <c r="E2" s="4"/>
      <c r="F2" s="4"/>
      <c r="G2" s="4"/>
      <c r="H2" s="4"/>
    </row>
    <row r="3" customFormat="false" ht="15" hidden="false" customHeight="false" outlineLevel="0" collapsed="false">
      <c r="A3" s="4"/>
      <c r="B3" s="4"/>
      <c r="C3" s="4"/>
      <c r="D3" s="4"/>
      <c r="E3" s="4"/>
      <c r="F3" s="4"/>
      <c r="G3" s="4"/>
      <c r="H3" s="4"/>
    </row>
    <row r="4" customFormat="false" ht="30" hidden="false" customHeight="true" outlineLevel="0" collapsed="false">
      <c r="A4" s="31" t="s">
        <v>280</v>
      </c>
      <c r="B4" s="31" t="s">
        <v>281</v>
      </c>
      <c r="C4" s="31" t="s">
        <v>282</v>
      </c>
      <c r="D4" s="31" t="s">
        <v>101</v>
      </c>
      <c r="E4" s="4"/>
      <c r="F4" s="4"/>
      <c r="G4" s="4"/>
      <c r="H4" s="4"/>
    </row>
    <row r="5" customFormat="false" ht="19.5" hidden="false" customHeight="true" outlineLevel="0" collapsed="false">
      <c r="A5" s="8" t="s">
        <v>283</v>
      </c>
      <c r="B5" s="9"/>
      <c r="C5" s="9"/>
      <c r="D5" s="9"/>
      <c r="E5" s="4"/>
      <c r="F5" s="4"/>
      <c r="G5" s="4"/>
      <c r="H5" s="4"/>
    </row>
    <row r="6" customFormat="false" ht="15" hidden="false" customHeight="false" outlineLevel="0" collapsed="false">
      <c r="A6" s="55" t="s">
        <v>117</v>
      </c>
      <c r="B6" s="42" t="n">
        <f aca="false">Билеты!$E$12</f>
        <v>202</v>
      </c>
      <c r="C6" s="47"/>
      <c r="D6" s="47"/>
      <c r="E6" s="4"/>
      <c r="F6" s="4"/>
      <c r="G6" s="4"/>
      <c r="H6" s="4"/>
    </row>
    <row r="7" customFormat="false" ht="15" hidden="false" customHeight="false" outlineLevel="0" collapsed="false">
      <c r="A7" s="55" t="s">
        <v>284</v>
      </c>
      <c r="B7" s="42" t="n">
        <f aca="false">Билеты!$B$17</f>
        <v>192</v>
      </c>
      <c r="C7" s="47"/>
      <c r="D7" s="47"/>
      <c r="E7" s="4"/>
      <c r="F7" s="4"/>
      <c r="G7" s="4"/>
      <c r="H7" s="4"/>
    </row>
    <row r="8" customFormat="false" ht="15" hidden="false" customHeight="false" outlineLevel="0" collapsed="false">
      <c r="A8" s="55" t="s">
        <v>121</v>
      </c>
      <c r="B8" s="44" t="n">
        <f aca="false">Билеты!$B$20</f>
        <v>2427.60416666667</v>
      </c>
      <c r="C8" s="47"/>
      <c r="D8" s="47"/>
      <c r="E8" s="4"/>
      <c r="F8" s="4"/>
      <c r="G8" s="4"/>
      <c r="H8" s="4"/>
    </row>
    <row r="9" customFormat="false" ht="15" hidden="false" customHeight="false" outlineLevel="0" collapsed="false">
      <c r="A9" s="37" t="s">
        <v>285</v>
      </c>
      <c r="B9" s="65" t="n">
        <f aca="false">Билеты!$F$12</f>
        <v>466100</v>
      </c>
      <c r="C9" s="66" t="n">
        <f aca="false">IFERROR(B9/$B$9,0)</f>
        <v>1</v>
      </c>
      <c r="D9" s="67" t="s">
        <v>286</v>
      </c>
      <c r="E9" s="4"/>
      <c r="F9" s="4"/>
      <c r="G9" s="4"/>
      <c r="H9" s="4"/>
    </row>
    <row r="10" customFormat="false" ht="15" hidden="false" customHeight="false" outlineLevel="0" collapsed="false">
      <c r="A10" s="55" t="s">
        <v>287</v>
      </c>
      <c r="B10" s="68" t="n">
        <f aca="false">IF(Вводные!$B$18=1,Экономика!$B$9*(1-Вводные!$B$20)*Вводные!$B$19,0)</f>
        <v>0</v>
      </c>
      <c r="C10" s="20" t="n">
        <f aca="false">IFERROR(B10/$B$9,0)</f>
        <v>0</v>
      </c>
      <c r="D10" s="36" t="s">
        <v>288</v>
      </c>
      <c r="E10" s="4"/>
      <c r="F10" s="4"/>
      <c r="G10" s="4"/>
      <c r="H10" s="4"/>
    </row>
    <row r="11" customFormat="false" ht="19.5" hidden="false" customHeight="true" outlineLevel="0" collapsed="false">
      <c r="A11" s="8" t="s">
        <v>289</v>
      </c>
      <c r="B11" s="9"/>
      <c r="C11" s="9"/>
      <c r="D11" s="9"/>
      <c r="E11" s="4"/>
      <c r="F11" s="4"/>
      <c r="G11" s="4"/>
      <c r="H11" s="4"/>
    </row>
    <row r="12" customFormat="false" ht="15" hidden="false" customHeight="false" outlineLevel="0" collapsed="false">
      <c r="A12" s="55" t="s">
        <v>290</v>
      </c>
      <c r="B12" s="68" t="n">
        <f aca="false">IF(Вводные!$B$18=2,Экономика!$B$9*(1-Вводные!$B$20)*Вводные!$B$19,0)</f>
        <v>39618.5</v>
      </c>
      <c r="C12" s="20" t="n">
        <f aca="false">IFERROR(B12/$B$9,0)</f>
        <v>0.085</v>
      </c>
      <c r="D12" s="36" t="s">
        <v>291</v>
      </c>
      <c r="E12" s="4"/>
      <c r="F12" s="4"/>
      <c r="G12" s="4"/>
      <c r="H12" s="4"/>
    </row>
    <row r="13" customFormat="false" ht="15" hidden="false" customHeight="false" outlineLevel="0" collapsed="false">
      <c r="A13" s="55" t="s">
        <v>292</v>
      </c>
      <c r="B13" s="68" t="n">
        <f aca="false">Экономика!$B$9*Вводные!$B$26</f>
        <v>23305</v>
      </c>
      <c r="C13" s="20" t="n">
        <f aca="false">IFERROR(B13/$B$9,0)</f>
        <v>0.05</v>
      </c>
      <c r="D13" s="36" t="s">
        <v>293</v>
      </c>
      <c r="E13" s="4"/>
      <c r="F13" s="4"/>
      <c r="G13" s="4"/>
      <c r="H13" s="4"/>
    </row>
    <row r="14" customFormat="false" ht="15" hidden="false" customHeight="false" outlineLevel="0" collapsed="false">
      <c r="A14" s="55" t="s">
        <v>294</v>
      </c>
      <c r="B14" s="68" t="n">
        <f aca="false">Экономика!$B$9*Вводные!$B$25</f>
        <v>27966</v>
      </c>
      <c r="C14" s="20" t="n">
        <f aca="false">IFERROR(B14/$B$9,0)</f>
        <v>0.06</v>
      </c>
      <c r="D14" s="36" t="s">
        <v>295</v>
      </c>
      <c r="E14" s="4"/>
      <c r="F14" s="4"/>
      <c r="G14" s="4"/>
      <c r="H14" s="4"/>
    </row>
    <row r="15" customFormat="false" ht="15" hidden="false" customHeight="false" outlineLevel="0" collapsed="false">
      <c r="A15" s="69" t="s">
        <v>296</v>
      </c>
      <c r="B15" s="45" t="n">
        <f aca="false">Экономика!$B$12+Экономика!$B$13+Экономика!$B$14</f>
        <v>90889.5</v>
      </c>
      <c r="C15" s="70" t="n">
        <f aca="false">IFERROR(B15/$B$9,0)</f>
        <v>0.195</v>
      </c>
      <c r="D15" s="47"/>
      <c r="E15" s="4"/>
      <c r="F15" s="4"/>
      <c r="G15" s="4"/>
      <c r="H15" s="4"/>
    </row>
    <row r="16" customFormat="false" ht="15" hidden="false" customHeight="false" outlineLevel="0" collapsed="false">
      <c r="A16" s="37" t="s">
        <v>297</v>
      </c>
      <c r="B16" s="71" t="n">
        <f aca="false">Экономика!$B$9-Экономика!$B$15</f>
        <v>375210.5</v>
      </c>
      <c r="C16" s="66" t="n">
        <f aca="false">IFERROR(B16/$B$9,0)</f>
        <v>0.805</v>
      </c>
      <c r="D16" s="38"/>
      <c r="E16" s="4"/>
      <c r="F16" s="4"/>
      <c r="G16" s="4"/>
      <c r="H16" s="4"/>
    </row>
    <row r="17" customFormat="false" ht="19.5" hidden="false" customHeight="true" outlineLevel="0" collapsed="false">
      <c r="A17" s="8" t="s">
        <v>298</v>
      </c>
      <c r="B17" s="9"/>
      <c r="C17" s="9"/>
      <c r="D17" s="9"/>
      <c r="E17" s="4"/>
      <c r="F17" s="4"/>
      <c r="G17" s="4"/>
      <c r="H17" s="4"/>
    </row>
    <row r="18" customFormat="false" ht="15" hidden="false" customHeight="false" outlineLevel="0" collapsed="false">
      <c r="A18" s="55" t="s">
        <v>299</v>
      </c>
      <c r="B18" s="44" t="n">
        <f aca="false">Расходы!$E$19</f>
        <v>91000</v>
      </c>
      <c r="C18" s="20" t="n">
        <f aca="false">IFERROR(B18/$B$9,0)</f>
        <v>0.195237073589359</v>
      </c>
      <c r="D18" s="47"/>
      <c r="E18" s="4"/>
      <c r="F18" s="4"/>
      <c r="G18" s="4"/>
      <c r="H18" s="4"/>
    </row>
    <row r="19" customFormat="false" ht="15" hidden="false" customHeight="false" outlineLevel="0" collapsed="false">
      <c r="A19" s="55" t="s">
        <v>300</v>
      </c>
      <c r="B19" s="44" t="n">
        <f aca="false">Расходы!$E$31</f>
        <v>40000</v>
      </c>
      <c r="C19" s="20" t="n">
        <f aca="false">IFERROR(B19/$B$9,0)</f>
        <v>0.0858184938854323</v>
      </c>
      <c r="D19" s="47"/>
      <c r="E19" s="4"/>
      <c r="F19" s="4"/>
      <c r="G19" s="4"/>
      <c r="H19" s="4"/>
    </row>
    <row r="20" customFormat="false" ht="15" hidden="false" customHeight="false" outlineLevel="0" collapsed="false">
      <c r="A20" s="55" t="s">
        <v>301</v>
      </c>
      <c r="B20" s="44" t="n">
        <f aca="false">Расходы!$E$42</f>
        <v>76000</v>
      </c>
      <c r="C20" s="20" t="n">
        <f aca="false">IFERROR(B20/$B$9,0)</f>
        <v>0.163055138382321</v>
      </c>
      <c r="D20" s="47"/>
      <c r="E20" s="4"/>
      <c r="F20" s="4"/>
      <c r="G20" s="4"/>
      <c r="H20" s="4"/>
    </row>
    <row r="21" customFormat="false" ht="15" hidden="false" customHeight="false" outlineLevel="0" collapsed="false">
      <c r="A21" s="55" t="s">
        <v>302</v>
      </c>
      <c r="B21" s="44" t="n">
        <f aca="false">Расходы!$E$53</f>
        <v>90000</v>
      </c>
      <c r="C21" s="20" t="n">
        <f aca="false">IFERROR(B21/$B$9,0)</f>
        <v>0.193091611242223</v>
      </c>
      <c r="D21" s="36" t="s">
        <v>303</v>
      </c>
      <c r="E21" s="4"/>
      <c r="F21" s="4"/>
      <c r="G21" s="4"/>
      <c r="H21" s="4"/>
    </row>
    <row r="22" customFormat="false" ht="15" hidden="false" customHeight="false" outlineLevel="0" collapsed="false">
      <c r="A22" s="55" t="s">
        <v>304</v>
      </c>
      <c r="B22" s="44" t="n">
        <f aca="false">Расходы!$E$49</f>
        <v>16000</v>
      </c>
      <c r="C22" s="20" t="n">
        <f aca="false">IFERROR(B22/$B$9,0)</f>
        <v>0.0343273975541729</v>
      </c>
      <c r="D22" s="47"/>
      <c r="E22" s="4"/>
      <c r="F22" s="4"/>
      <c r="G22" s="4"/>
      <c r="H22" s="4"/>
    </row>
    <row r="23" customFormat="false" ht="15" hidden="false" customHeight="false" outlineLevel="0" collapsed="false">
      <c r="A23" s="55" t="s">
        <v>273</v>
      </c>
      <c r="B23" s="44" t="n">
        <f aca="false">Расходы!$E$58-(Расходы!$E$19+Расходы!$E$31+Расходы!$E$42+Расходы!$E$49+Расходы!$E$53)</f>
        <v>31300</v>
      </c>
      <c r="C23" s="20" t="n">
        <f aca="false">IFERROR(B23/$B$9,0)</f>
        <v>0.0671529714653508</v>
      </c>
      <c r="D23" s="47"/>
      <c r="E23" s="4"/>
      <c r="F23" s="4"/>
      <c r="G23" s="4"/>
      <c r="H23" s="4"/>
    </row>
    <row r="24" customFormat="false" ht="15" hidden="false" customHeight="false" outlineLevel="0" collapsed="false">
      <c r="A24" s="69" t="s">
        <v>305</v>
      </c>
      <c r="B24" s="58" t="n">
        <f aca="false">Расходы!$E$58</f>
        <v>344300</v>
      </c>
      <c r="C24" s="70" t="n">
        <f aca="false">IFERROR(B24/$B$9,0)</f>
        <v>0.738682686118859</v>
      </c>
      <c r="D24" s="47"/>
      <c r="E24" s="4"/>
      <c r="F24" s="4"/>
      <c r="G24" s="4"/>
      <c r="H24" s="4"/>
    </row>
    <row r="25" customFormat="false" ht="15" hidden="false" customHeight="false" outlineLevel="0" collapsed="false">
      <c r="A25" s="55" t="s">
        <v>306</v>
      </c>
      <c r="B25" s="68" t="n">
        <f aca="false">Экономика!$B$6*Вводные!$B$41</f>
        <v>12120</v>
      </c>
      <c r="C25" s="20" t="n">
        <f aca="false">IFERROR(B25/$B$9,0)</f>
        <v>0.026003003647286</v>
      </c>
      <c r="D25" s="36" t="s">
        <v>307</v>
      </c>
      <c r="E25" s="4"/>
      <c r="F25" s="4"/>
      <c r="G25" s="4"/>
      <c r="H25" s="4"/>
    </row>
    <row r="26" customFormat="false" ht="15" hidden="false" customHeight="false" outlineLevel="0" collapsed="false">
      <c r="A26" s="37" t="s">
        <v>308</v>
      </c>
      <c r="B26" s="71" t="n">
        <f aca="false">Экономика!$B$24+Экономика!$B$25</f>
        <v>356420</v>
      </c>
      <c r="C26" s="66" t="n">
        <f aca="false">IFERROR(B26/$B$9,0)</f>
        <v>0.764685689766145</v>
      </c>
      <c r="D26" s="38"/>
      <c r="E26" s="4"/>
      <c r="F26" s="4"/>
      <c r="G26" s="4"/>
      <c r="H26" s="4"/>
    </row>
    <row r="27" customFormat="false" ht="19.5" hidden="false" customHeight="true" outlineLevel="0" collapsed="false">
      <c r="A27" s="8" t="s">
        <v>309</v>
      </c>
      <c r="B27" s="9"/>
      <c r="C27" s="9"/>
      <c r="D27" s="9"/>
      <c r="E27" s="4"/>
      <c r="F27" s="4"/>
      <c r="G27" s="4"/>
      <c r="H27" s="4"/>
    </row>
    <row r="28" customFormat="false" ht="15" hidden="false" customHeight="false" outlineLevel="0" collapsed="false">
      <c r="A28" s="55" t="s">
        <v>310</v>
      </c>
      <c r="B28" s="68" t="n">
        <f aca="false">IF(Вводные!$B$38="Да",Билеты!$E$32*(1-Вводные!$B$25),0)</f>
        <v>0</v>
      </c>
      <c r="C28" s="20" t="n">
        <f aca="false">IFERROR(B28/$B$9,0)</f>
        <v>0</v>
      </c>
      <c r="D28" s="36" t="s">
        <v>311</v>
      </c>
      <c r="E28" s="4"/>
      <c r="F28" s="4"/>
      <c r="G28" s="4"/>
      <c r="H28" s="4"/>
    </row>
    <row r="29" customFormat="false" ht="15" hidden="false" customHeight="false" outlineLevel="0" collapsed="false">
      <c r="A29" s="50" t="s">
        <v>312</v>
      </c>
      <c r="B29" s="72" t="n">
        <f aca="false">Экономика!$B$16-Экономика!$B$26+Экономика!$B$28</f>
        <v>18790.5</v>
      </c>
      <c r="C29" s="66" t="n">
        <f aca="false">IFERROR(B29/$B$9,0)</f>
        <v>0.0403143102338554</v>
      </c>
      <c r="D29" s="38"/>
      <c r="E29" s="4"/>
      <c r="F29" s="4"/>
      <c r="G29" s="4"/>
      <c r="H29" s="4"/>
    </row>
    <row r="30" customFormat="false" ht="15" hidden="false" customHeight="false" outlineLevel="0" collapsed="false">
      <c r="A30" s="55" t="s">
        <v>313</v>
      </c>
      <c r="B30" s="68" t="n">
        <f aca="false">IF(Экономика!$B$29&gt;=0,Экономика!$B$29*Вводные!$B$36,IF(Вводные!$B$37="Да",Экономика!$B$29*Вводные!$B$36,0))</f>
        <v>9395.25</v>
      </c>
      <c r="C30" s="20" t="n">
        <f aca="false">IFERROR(B30/$B$9,0)</f>
        <v>0.0201571551169277</v>
      </c>
      <c r="D30" s="36" t="s">
        <v>314</v>
      </c>
      <c r="E30" s="4"/>
      <c r="F30" s="4"/>
      <c r="G30" s="4"/>
      <c r="H30" s="4"/>
    </row>
    <row r="31" customFormat="false" ht="15" hidden="false" customHeight="false" outlineLevel="0" collapsed="false">
      <c r="A31" s="69" t="s">
        <v>315</v>
      </c>
      <c r="B31" s="45" t="n">
        <f aca="false">Экономика!$B$29-Экономика!$B$30</f>
        <v>9395.25</v>
      </c>
      <c r="C31" s="70" t="n">
        <f aca="false">IFERROR(B31/$B$9,0)</f>
        <v>0.0201571551169277</v>
      </c>
      <c r="D31" s="47"/>
      <c r="E31" s="4"/>
      <c r="F31" s="4"/>
      <c r="G31" s="4"/>
      <c r="H31" s="4"/>
    </row>
    <row r="32" customFormat="false" ht="15" hidden="false" customHeight="false" outlineLevel="0" collapsed="false">
      <c r="A32" s="55" t="s">
        <v>316</v>
      </c>
      <c r="B32" s="68" t="n">
        <f aca="false">-MAX(0,Экономика!$B$31)*Вводные!$B$32</f>
        <v>-751.62</v>
      </c>
      <c r="C32" s="20" t="n">
        <f aca="false">IFERROR(B32/$B$9,0)</f>
        <v>-0.00161257240935422</v>
      </c>
      <c r="D32" s="36" t="s">
        <v>317</v>
      </c>
      <c r="E32" s="4"/>
      <c r="F32" s="4"/>
      <c r="G32" s="4"/>
      <c r="H32" s="4"/>
    </row>
    <row r="33" customFormat="false" ht="15" hidden="false" customHeight="false" outlineLevel="0" collapsed="false">
      <c r="A33" s="50" t="s">
        <v>318</v>
      </c>
      <c r="B33" s="72" t="n">
        <f aca="false">Экономика!$B$31+Экономика!$B$32</f>
        <v>8643.63</v>
      </c>
      <c r="C33" s="66" t="n">
        <f aca="false">IFERROR(B33/$B$9,0)</f>
        <v>0.0185445827075735</v>
      </c>
      <c r="D33" s="38"/>
      <c r="E33" s="4"/>
      <c r="F33" s="4"/>
      <c r="G33" s="4"/>
      <c r="H33" s="4"/>
    </row>
    <row r="34" customFormat="false" ht="19.5" hidden="false" customHeight="true" outlineLevel="0" collapsed="false">
      <c r="A34" s="8" t="s">
        <v>319</v>
      </c>
      <c r="B34" s="9"/>
      <c r="C34" s="9"/>
      <c r="D34" s="9"/>
      <c r="E34" s="4"/>
      <c r="F34" s="4"/>
      <c r="G34" s="4"/>
      <c r="H34" s="4"/>
    </row>
    <row r="35" customFormat="false" ht="15" hidden="false" customHeight="false" outlineLevel="0" collapsed="false">
      <c r="A35" s="55" t="s">
        <v>320</v>
      </c>
      <c r="B35" s="44" t="n">
        <f aca="false">IF(Вводные!$B$38="Да",0,Билеты!$E$32)</f>
        <v>58000</v>
      </c>
      <c r="C35" s="20" t="n">
        <f aca="false">IFERROR(B35/$B$9,0)</f>
        <v>0.124436816133877</v>
      </c>
      <c r="D35" s="47"/>
      <c r="E35" s="4"/>
      <c r="F35" s="4"/>
      <c r="G35" s="4"/>
      <c r="H35" s="4"/>
    </row>
    <row r="36" customFormat="false" ht="15" hidden="false" customHeight="false" outlineLevel="0" collapsed="false">
      <c r="A36" s="55" t="s">
        <v>321</v>
      </c>
      <c r="B36" s="68" t="n">
        <f aca="false">-Экономика!$B$35*Вводные!$B$32</f>
        <v>-4640</v>
      </c>
      <c r="C36" s="20" t="n">
        <f aca="false">IFERROR(B36/$B$9,0)</f>
        <v>-0.00995494529071015</v>
      </c>
      <c r="D36" s="47"/>
      <c r="E36" s="4"/>
      <c r="F36" s="4"/>
      <c r="G36" s="4"/>
      <c r="H36" s="4"/>
    </row>
    <row r="37" customFormat="false" ht="25.5" hidden="false" customHeight="true" outlineLevel="0" collapsed="false">
      <c r="A37" s="73" t="s">
        <v>322</v>
      </c>
      <c r="B37" s="74" t="n">
        <f aca="false">Экономика!$B$33+Экономика!$B$35+Экономика!$B$36</f>
        <v>62003.63</v>
      </c>
      <c r="C37" s="75" t="n">
        <f aca="false">IFERROR(B37/$B$9,0)</f>
        <v>0.13302645355074</v>
      </c>
      <c r="D37" s="62"/>
      <c r="E37" s="4"/>
      <c r="F37" s="4"/>
      <c r="G37" s="4"/>
      <c r="H37" s="4"/>
    </row>
    <row r="38" customFormat="false" ht="15" hidden="false" customHeight="false" outlineLevel="0" collapsed="false">
      <c r="A38" s="4"/>
      <c r="B38" s="4"/>
      <c r="C38" s="4"/>
      <c r="D38" s="4"/>
      <c r="E38" s="4"/>
      <c r="F38" s="4"/>
      <c r="G38" s="4"/>
      <c r="H38" s="4"/>
    </row>
    <row r="39" customFormat="false" ht="19.5" hidden="false" customHeight="true" outlineLevel="0" collapsed="false">
      <c r="A39" s="8" t="s">
        <v>323</v>
      </c>
      <c r="B39" s="9"/>
      <c r="C39" s="9"/>
      <c r="D39" s="9"/>
      <c r="E39" s="4"/>
      <c r="F39" s="4"/>
      <c r="G39" s="4"/>
      <c r="H39" s="4"/>
    </row>
    <row r="40" customFormat="false" ht="15" hidden="false" customHeight="false" outlineLevel="0" collapsed="false">
      <c r="A40" s="55" t="s">
        <v>324</v>
      </c>
      <c r="B40" s="68" t="n">
        <f aca="false">Экономика!$B$8*(1-IF(Вводные!$B$18=2,Вводные!$B$19*(1-Вводные!$B$20),0)-Вводные!$B$26-Вводные!$B$25)-IFERROR(Вводные!$B$41/Билеты!$B$23,Вводные!$B$41)</f>
        <v>1891.09635416667</v>
      </c>
      <c r="C40" s="47"/>
      <c r="D40" s="36" t="s">
        <v>325</v>
      </c>
      <c r="E40" s="4"/>
      <c r="F40" s="4"/>
      <c r="G40" s="4"/>
      <c r="H40" s="4"/>
    </row>
    <row r="41" customFormat="false" ht="15" hidden="false" customHeight="false" outlineLevel="0" collapsed="false">
      <c r="A41" s="69" t="s">
        <v>14</v>
      </c>
      <c r="B41" s="76" t="n">
        <f aca="false">IF(Экономика!$B$40&lt;=0,"н/д — билет не покрывает переменные расходы",ROUNDUP(Экономика!$B$24/Экономика!$B$40,0))</f>
        <v>183</v>
      </c>
      <c r="C41" s="47"/>
      <c r="D41" s="36" t="s">
        <v>326</v>
      </c>
      <c r="E41" s="4"/>
      <c r="F41" s="4"/>
      <c r="G41" s="4"/>
      <c r="H41" s="4"/>
    </row>
    <row r="42" customFormat="false" ht="15" hidden="false" customHeight="false" outlineLevel="0" collapsed="false">
      <c r="A42" s="69" t="s">
        <v>327</v>
      </c>
      <c r="B42" s="77" t="n">
        <f aca="false">IFERROR(Экономика!$B$41/Билеты!$B$23/Вводные!$B$12,0)</f>
        <v>0.641770833333333</v>
      </c>
      <c r="C42" s="47"/>
      <c r="D42" s="47"/>
      <c r="E42" s="4"/>
      <c r="F42" s="4"/>
      <c r="G42" s="4"/>
      <c r="H42" s="4"/>
    </row>
    <row r="43" customFormat="false" ht="15" hidden="false" customHeight="false" outlineLevel="0" collapsed="false">
      <c r="A43" s="55" t="s">
        <v>328</v>
      </c>
      <c r="B43" s="29" t="n">
        <f aca="false">IFERROR((Экономика!$B$7-Экономика!$B$41)/Экономика!$B$7,0)</f>
        <v>0.046875</v>
      </c>
      <c r="C43" s="47"/>
      <c r="D43" s="36" t="s">
        <v>329</v>
      </c>
      <c r="E43" s="4"/>
      <c r="F43" s="4"/>
      <c r="G43" s="4"/>
      <c r="H43" s="4"/>
    </row>
    <row r="44" customFormat="false" ht="15" hidden="false" customHeight="false" outlineLevel="0" collapsed="false">
      <c r="A44" s="55" t="s">
        <v>330</v>
      </c>
      <c r="B44" s="29" t="n">
        <f aca="false">IFERROR(Экономика!$B$37/Экономика!$B$9,0)</f>
        <v>0.13302645355074</v>
      </c>
      <c r="C44" s="47"/>
      <c r="D44" s="47"/>
      <c r="E44" s="4"/>
      <c r="F44" s="4"/>
      <c r="G44" s="4"/>
      <c r="H44" s="4"/>
    </row>
    <row r="45" customFormat="false" ht="15" hidden="false" customHeight="false" outlineLevel="0" collapsed="false">
      <c r="A45" s="55" t="s">
        <v>331</v>
      </c>
      <c r="B45" s="68" t="n">
        <f aca="false">IFERROR(Экономика!$B$37/Экономика!$B$6,0)</f>
        <v>306.948663366337</v>
      </c>
      <c r="C45" s="47"/>
      <c r="D45" s="47"/>
      <c r="E45" s="4"/>
      <c r="F45" s="4"/>
      <c r="G45" s="4"/>
      <c r="H45" s="4"/>
    </row>
    <row r="46" customFormat="false" ht="15" hidden="false" customHeight="false" outlineLevel="0" collapsed="false">
      <c r="A46" s="55" t="s">
        <v>332</v>
      </c>
      <c r="B46" s="44" t="n">
        <f aca="false">Расходы!$E$60</f>
        <v>225000</v>
      </c>
      <c r="C46" s="47"/>
      <c r="D46" s="36" t="s">
        <v>333</v>
      </c>
      <c r="E46" s="4"/>
      <c r="F46" s="4"/>
      <c r="G46" s="4"/>
      <c r="H46" s="4"/>
    </row>
    <row r="47" customFormat="false" ht="15" hidden="false" customHeight="false" outlineLevel="0" collapsed="false">
      <c r="A47" s="69" t="s">
        <v>334</v>
      </c>
      <c r="B47" s="78" t="str">
        <f aca="false">IF(Экономика!$B$29&lt;0,"УБЫТОК. Нужно резать смету, поднимать цену или менять условия сделки",IF(Экономика!$B$43&lt;0.15,"НА ГРАНИ. Запас прочности меньше 15% — риск высокий",IF(Экономика!$B$44&lt;0.1,"СЛАБО. Прибыль есть, но рентабельность ниже 10% от сбора","ЗДОРОВО. Проект окупается с приемлемым запасом")))</f>
        <v>НА ГРАНИ. Запас прочности меньше 15% — риск высокий</v>
      </c>
      <c r="C47" s="47"/>
      <c r="D47" s="47"/>
      <c r="E47" s="4"/>
      <c r="F47" s="4"/>
      <c r="G47" s="4"/>
      <c r="H47" s="4"/>
    </row>
  </sheetData>
  <conditionalFormatting sqref="B47">
    <cfRule type="expression" priority="2" aboveAverage="0" equalAverage="0" bottom="0" percent="0" rank="0" text="" dxfId="0">
      <formula>LEFT($B$47,6)="УБЫТОК"</formula>
    </cfRule>
    <cfRule type="expression" priority="3" aboveAverage="0" equalAverage="0" bottom="0" percent="0" rank="0" text="" dxfId="1">
      <formula>LEFT($B$47,7)="ЗДОРОВО"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5" min="2" style="0" width="17"/>
    <col collapsed="false" customWidth="true" hidden="false" outlineLevel="0" max="6" min="6" style="0" width="19"/>
    <col collapsed="false" customWidth="true" hidden="false" outlineLevel="0" max="7" min="7" style="0" width="50"/>
  </cols>
  <sheetData>
    <row r="1" customFormat="false" ht="30" hidden="false" customHeight="true" outlineLevel="0" collapsed="false">
      <c r="A1" s="1" t="s">
        <v>335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3" t="s">
        <v>336</v>
      </c>
      <c r="B2" s="4"/>
      <c r="C2" s="4"/>
      <c r="D2" s="4"/>
      <c r="E2" s="4"/>
      <c r="F2" s="4"/>
      <c r="G2" s="4"/>
      <c r="H2" s="4"/>
    </row>
    <row r="3" customFormat="false" ht="15" hidden="false" customHeight="false" outlineLevel="0" collapsed="false">
      <c r="A3" s="4"/>
      <c r="B3" s="4"/>
      <c r="C3" s="4"/>
      <c r="D3" s="4"/>
      <c r="E3" s="4"/>
      <c r="F3" s="4"/>
      <c r="G3" s="4"/>
      <c r="H3" s="4"/>
    </row>
    <row r="4" customFormat="false" ht="30" hidden="false" customHeight="true" outlineLevel="0" collapsed="false">
      <c r="A4" s="31" t="s">
        <v>280</v>
      </c>
      <c r="B4" s="31" t="s">
        <v>22</v>
      </c>
      <c r="C4" s="31" t="s">
        <v>337</v>
      </c>
      <c r="D4" s="31" t="s">
        <v>24</v>
      </c>
      <c r="E4" s="31" t="s">
        <v>25</v>
      </c>
      <c r="F4" s="31" t="s">
        <v>338</v>
      </c>
      <c r="G4" s="31" t="s">
        <v>101</v>
      </c>
      <c r="H4" s="4"/>
    </row>
    <row r="5" customFormat="false" ht="15" hidden="false" customHeight="false" outlineLevel="0" collapsed="false">
      <c r="A5" s="25" t="s">
        <v>339</v>
      </c>
      <c r="B5" s="35" t="n">
        <f aca="false">Вводные!$B$13</f>
        <v>0.4</v>
      </c>
      <c r="C5" s="79" t="n">
        <f aca="false">Билеты!$B$22</f>
        <v>0.673333333333333</v>
      </c>
      <c r="D5" s="35" t="n">
        <f aca="false">Вводные!$B$14</f>
        <v>0.9</v>
      </c>
      <c r="E5" s="35" t="n">
        <f aca="false">Вводные!$B$15</f>
        <v>1</v>
      </c>
      <c r="F5" s="35" t="n">
        <f aca="false">Экономика!$B$42</f>
        <v>0.641770833333333</v>
      </c>
      <c r="G5" s="3" t="s">
        <v>340</v>
      </c>
      <c r="H5" s="4"/>
    </row>
    <row r="6" customFormat="false" ht="15" hidden="false" customHeight="false" outlineLevel="0" collapsed="false">
      <c r="A6" s="25" t="s">
        <v>117</v>
      </c>
      <c r="B6" s="33" t="n">
        <f aca="false">ROUND(Вводные!$B$12*B5,0)</f>
        <v>120</v>
      </c>
      <c r="C6" s="80" t="n">
        <f aca="false">Билеты!$E$12</f>
        <v>202</v>
      </c>
      <c r="D6" s="33" t="n">
        <f aca="false">ROUND(Вводные!$B$12*D5,0)</f>
        <v>270</v>
      </c>
      <c r="E6" s="33" t="n">
        <f aca="false">ROUND(Вводные!$B$12*E5,0)</f>
        <v>300</v>
      </c>
      <c r="F6" s="33" t="n">
        <f aca="false">ROUND(Вводные!$B$12*F5,0)</f>
        <v>193</v>
      </c>
      <c r="G6" s="4"/>
      <c r="H6" s="4"/>
    </row>
    <row r="7" customFormat="false" ht="15" hidden="false" customHeight="false" outlineLevel="0" collapsed="false">
      <c r="A7" s="25" t="s">
        <v>284</v>
      </c>
      <c r="B7" s="33" t="n">
        <f aca="false">ROUND(B6*Билеты!$B$23,0)</f>
        <v>114</v>
      </c>
      <c r="C7" s="80" t="n">
        <f aca="false">Билеты!$B$17</f>
        <v>192</v>
      </c>
      <c r="D7" s="33" t="n">
        <f aca="false">ROUND(D6*Билеты!$B$23,0)</f>
        <v>257</v>
      </c>
      <c r="E7" s="33" t="n">
        <f aca="false">ROUND(E6*Билеты!$B$23,0)</f>
        <v>285</v>
      </c>
      <c r="F7" s="33" t="n">
        <f aca="false">ROUND(F6*Билеты!$B$23,0)</f>
        <v>183</v>
      </c>
      <c r="G7" s="4"/>
      <c r="H7" s="4"/>
    </row>
    <row r="8" customFormat="false" ht="15" hidden="false" customHeight="false" outlineLevel="0" collapsed="false">
      <c r="A8" s="25" t="s">
        <v>121</v>
      </c>
      <c r="B8" s="34" t="n">
        <f aca="false">Билеты!$B$20</f>
        <v>2427.60416666667</v>
      </c>
      <c r="C8" s="81" t="n">
        <f aca="false">Билеты!$B$20</f>
        <v>2427.60416666667</v>
      </c>
      <c r="D8" s="34" t="n">
        <f aca="false">Билеты!$B$20</f>
        <v>2427.60416666667</v>
      </c>
      <c r="E8" s="34" t="n">
        <f aca="false">Билеты!$B$20</f>
        <v>2427.60416666667</v>
      </c>
      <c r="F8" s="34" t="n">
        <f aca="false">Билеты!$B$20</f>
        <v>2427.60416666667</v>
      </c>
      <c r="G8" s="4"/>
      <c r="H8" s="4"/>
    </row>
    <row r="9" customFormat="false" ht="15" hidden="false" customHeight="false" outlineLevel="0" collapsed="false">
      <c r="A9" s="6" t="s">
        <v>341</v>
      </c>
      <c r="B9" s="40" t="n">
        <f aca="false">B7*B8</f>
        <v>276746.875</v>
      </c>
      <c r="C9" s="82" t="n">
        <f aca="false">Билеты!$F$12</f>
        <v>466100</v>
      </c>
      <c r="D9" s="40" t="n">
        <f aca="false">D7*D8</f>
        <v>623894.270833333</v>
      </c>
      <c r="E9" s="40" t="n">
        <f aca="false">E7*E8</f>
        <v>691867.1875</v>
      </c>
      <c r="F9" s="40" t="n">
        <f aca="false">F7*F8</f>
        <v>444251.5625</v>
      </c>
      <c r="G9" s="4"/>
      <c r="H9" s="4"/>
    </row>
    <row r="10" customFormat="false" ht="15" hidden="false" customHeight="false" outlineLevel="0" collapsed="false">
      <c r="A10" s="25" t="s">
        <v>342</v>
      </c>
      <c r="B10" s="34" t="n">
        <f aca="false">-IF(Вводные!$B$18=2,B9*(1-Вводные!$B$20)*Вводные!$B$19,0)</f>
        <v>-23523.484375</v>
      </c>
      <c r="C10" s="81" t="n">
        <f aca="false">-IF(Вводные!$B$18=2,C9*(1-Вводные!$B$20)*Вводные!$B$19,0)</f>
        <v>-39618.5</v>
      </c>
      <c r="D10" s="34" t="n">
        <f aca="false">-IF(Вводные!$B$18=2,D9*(1-Вводные!$B$20)*Вводные!$B$19,0)</f>
        <v>-53031.0130208333</v>
      </c>
      <c r="E10" s="34" t="n">
        <f aca="false">-IF(Вводные!$B$18=2,E9*(1-Вводные!$B$20)*Вводные!$B$19,0)</f>
        <v>-58808.7109375</v>
      </c>
      <c r="F10" s="34" t="n">
        <f aca="false">-IF(Вводные!$B$18=2,F9*(1-Вводные!$B$20)*Вводные!$B$19,0)</f>
        <v>-37761.3828125</v>
      </c>
      <c r="G10" s="4"/>
      <c r="H10" s="4"/>
    </row>
    <row r="11" customFormat="false" ht="15" hidden="false" customHeight="false" outlineLevel="0" collapsed="false">
      <c r="A11" s="25" t="s">
        <v>343</v>
      </c>
      <c r="B11" s="34" t="n">
        <f aca="false">-B9*Вводные!$B$26</f>
        <v>-13837.34375</v>
      </c>
      <c r="C11" s="81" t="n">
        <f aca="false">-C9*Вводные!$B$26</f>
        <v>-23305</v>
      </c>
      <c r="D11" s="34" t="n">
        <f aca="false">-D9*Вводные!$B$26</f>
        <v>-31194.7135416667</v>
      </c>
      <c r="E11" s="34" t="n">
        <f aca="false">-E9*Вводные!$B$26</f>
        <v>-34593.359375</v>
      </c>
      <c r="F11" s="34" t="n">
        <f aca="false">-F9*Вводные!$B$26</f>
        <v>-22212.578125</v>
      </c>
      <c r="G11" s="4"/>
      <c r="H11" s="4"/>
    </row>
    <row r="12" customFormat="false" ht="15" hidden="false" customHeight="false" outlineLevel="0" collapsed="false">
      <c r="A12" s="25" t="s">
        <v>344</v>
      </c>
      <c r="B12" s="34" t="n">
        <f aca="false">-B9*Вводные!$B$25</f>
        <v>-16604.8125</v>
      </c>
      <c r="C12" s="81" t="n">
        <f aca="false">-C9*Вводные!$B$25</f>
        <v>-27966</v>
      </c>
      <c r="D12" s="34" t="n">
        <f aca="false">-D9*Вводные!$B$25</f>
        <v>-37433.65625</v>
      </c>
      <c r="E12" s="34" t="n">
        <f aca="false">-E9*Вводные!$B$25</f>
        <v>-41512.03125</v>
      </c>
      <c r="F12" s="34" t="n">
        <f aca="false">-F9*Вводные!$B$25</f>
        <v>-26655.09375</v>
      </c>
      <c r="G12" s="4"/>
      <c r="H12" s="4"/>
    </row>
    <row r="13" customFormat="false" ht="15" hidden="false" customHeight="false" outlineLevel="0" collapsed="false">
      <c r="A13" s="6" t="s">
        <v>297</v>
      </c>
      <c r="B13" s="40" t="n">
        <f aca="false">SUM(B9:B12)</f>
        <v>222781.234375</v>
      </c>
      <c r="C13" s="82" t="n">
        <f aca="false">SUM(C9:C12)</f>
        <v>375210.5</v>
      </c>
      <c r="D13" s="40" t="n">
        <f aca="false">SUM(D9:D12)</f>
        <v>502234.888020833</v>
      </c>
      <c r="E13" s="40" t="n">
        <f aca="false">SUM(E9:E12)</f>
        <v>556953.0859375</v>
      </c>
      <c r="F13" s="40" t="n">
        <f aca="false">SUM(F9:F12)</f>
        <v>357622.5078125</v>
      </c>
      <c r="G13" s="4"/>
      <c r="H13" s="4"/>
    </row>
    <row r="14" customFormat="false" ht="15" hidden="false" customHeight="false" outlineLevel="0" collapsed="false">
      <c r="A14" s="25" t="s">
        <v>345</v>
      </c>
      <c r="B14" s="34" t="n">
        <f aca="false">-Расходы!$E$58</f>
        <v>-344300</v>
      </c>
      <c r="C14" s="81" t="n">
        <f aca="false">-Расходы!$E$58</f>
        <v>-344300</v>
      </c>
      <c r="D14" s="34" t="n">
        <f aca="false">-Расходы!$E$58</f>
        <v>-344300</v>
      </c>
      <c r="E14" s="34" t="n">
        <f aca="false">-Расходы!$E$58</f>
        <v>-344300</v>
      </c>
      <c r="F14" s="34" t="n">
        <f aca="false">-Расходы!$E$58</f>
        <v>-344300</v>
      </c>
      <c r="G14" s="4"/>
      <c r="H14" s="4"/>
    </row>
    <row r="15" customFormat="false" ht="15" hidden="false" customHeight="false" outlineLevel="0" collapsed="false">
      <c r="A15" s="25" t="s">
        <v>346</v>
      </c>
      <c r="B15" s="34" t="n">
        <f aca="false">-B6*Вводные!$B$41</f>
        <v>-7200</v>
      </c>
      <c r="C15" s="81" t="n">
        <f aca="false">-C6*Вводные!$B$41</f>
        <v>-12120</v>
      </c>
      <c r="D15" s="34" t="n">
        <f aca="false">-D6*Вводные!$B$41</f>
        <v>-16200</v>
      </c>
      <c r="E15" s="34" t="n">
        <f aca="false">-E6*Вводные!$B$41</f>
        <v>-18000</v>
      </c>
      <c r="F15" s="34" t="n">
        <f aca="false">-F6*Вводные!$B$41</f>
        <v>-11580</v>
      </c>
      <c r="G15" s="4"/>
      <c r="H15" s="4"/>
    </row>
    <row r="16" customFormat="false" ht="15" hidden="false" customHeight="false" outlineLevel="0" collapsed="false">
      <c r="A16" s="25" t="s">
        <v>347</v>
      </c>
      <c r="B16" s="34" t="n">
        <f aca="false">IF(Вводные!$B$38="Да",Билеты!$E$32*(1-Вводные!$B$25),0)</f>
        <v>0</v>
      </c>
      <c r="C16" s="81" t="n">
        <f aca="false">IF(Вводные!$B$38="Да",Билеты!$E$32*(1-Вводные!$B$25),0)</f>
        <v>0</v>
      </c>
      <c r="D16" s="34" t="n">
        <f aca="false">IF(Вводные!$B$38="Да",Билеты!$E$32*(1-Вводные!$B$25),0)</f>
        <v>0</v>
      </c>
      <c r="E16" s="34" t="n">
        <f aca="false">IF(Вводные!$B$38="Да",Билеты!$E$32*(1-Вводные!$B$25),0)</f>
        <v>0</v>
      </c>
      <c r="F16" s="34" t="n">
        <f aca="false">IF(Вводные!$B$38="Да",Билеты!$E$32*(1-Вводные!$B$25),0)</f>
        <v>0</v>
      </c>
      <c r="G16" s="4"/>
      <c r="H16" s="4"/>
    </row>
    <row r="17" customFormat="false" ht="15" hidden="false" customHeight="false" outlineLevel="0" collapsed="false">
      <c r="A17" s="6" t="s">
        <v>312</v>
      </c>
      <c r="B17" s="40" t="n">
        <f aca="false">SUM(B13:B16)</f>
        <v>-128718.765625</v>
      </c>
      <c r="C17" s="82" t="n">
        <f aca="false">SUM(C13:C16)</f>
        <v>18790.5</v>
      </c>
      <c r="D17" s="40" t="n">
        <f aca="false">SUM(D13:D16)</f>
        <v>141734.888020833</v>
      </c>
      <c r="E17" s="40" t="n">
        <f aca="false">SUM(E13:E16)</f>
        <v>194653.0859375</v>
      </c>
      <c r="F17" s="40" t="n">
        <f aca="false">SUM(F13:F16)</f>
        <v>1742.5078125</v>
      </c>
      <c r="G17" s="3" t="s">
        <v>348</v>
      </c>
      <c r="H17" s="4"/>
    </row>
    <row r="18" customFormat="false" ht="15" hidden="false" customHeight="false" outlineLevel="0" collapsed="false">
      <c r="A18" s="25" t="s">
        <v>349</v>
      </c>
      <c r="B18" s="34" t="n">
        <f aca="false">IF(B17&gt;=0,B17*Вводные!$B$36,IF(Вводные!$B$37="Да",B17*Вводные!$B$36,0))</f>
        <v>0</v>
      </c>
      <c r="C18" s="81" t="n">
        <f aca="false">IF(C17&gt;=0,C17*Вводные!$B$36,IF(Вводные!$B$37="Да",C17*Вводные!$B$36,0))</f>
        <v>9395.25</v>
      </c>
      <c r="D18" s="34" t="n">
        <f aca="false">IF(D17&gt;=0,D17*Вводные!$B$36,IF(Вводные!$B$37="Да",D17*Вводные!$B$36,0))</f>
        <v>70867.4440104166</v>
      </c>
      <c r="E18" s="34" t="n">
        <f aca="false">IF(E17&gt;=0,E17*Вводные!$B$36,IF(Вводные!$B$37="Да",E17*Вводные!$B$36,0))</f>
        <v>97326.54296875</v>
      </c>
      <c r="F18" s="34" t="n">
        <f aca="false">IF(F17&gt;=0,F17*Вводные!$B$36,IF(Вводные!$B$37="Да",F17*Вводные!$B$36,0))</f>
        <v>871.25390625</v>
      </c>
      <c r="G18" s="3" t="s">
        <v>350</v>
      </c>
      <c r="H18" s="4"/>
    </row>
    <row r="19" customFormat="false" ht="15" hidden="false" customHeight="false" outlineLevel="0" collapsed="false">
      <c r="A19" s="25" t="s">
        <v>351</v>
      </c>
      <c r="B19" s="34" t="n">
        <f aca="false">B17-B18</f>
        <v>-128718.765625</v>
      </c>
      <c r="C19" s="81" t="n">
        <f aca="false">C17-C18</f>
        <v>9395.25</v>
      </c>
      <c r="D19" s="34" t="n">
        <f aca="false">D17-D18</f>
        <v>70867.4440104166</v>
      </c>
      <c r="E19" s="34" t="n">
        <f aca="false">E17-E18</f>
        <v>97326.54296875</v>
      </c>
      <c r="F19" s="34" t="n">
        <f aca="false">F17-F18</f>
        <v>871.25390625</v>
      </c>
      <c r="G19" s="4"/>
      <c r="H19" s="4"/>
    </row>
    <row r="20" customFormat="false" ht="15" hidden="false" customHeight="false" outlineLevel="0" collapsed="false">
      <c r="A20" s="25" t="s">
        <v>352</v>
      </c>
      <c r="B20" s="34" t="n">
        <f aca="false">-MAX(0,B19)*Вводные!$B$32</f>
        <v>-0</v>
      </c>
      <c r="C20" s="81" t="n">
        <f aca="false">-MAX(0,C19)*Вводные!$B$32</f>
        <v>-751.62</v>
      </c>
      <c r="D20" s="34" t="n">
        <f aca="false">-MAX(0,D19)*Вводные!$B$32</f>
        <v>-5669.39552083333</v>
      </c>
      <c r="E20" s="34" t="n">
        <f aca="false">-MAX(0,E19)*Вводные!$B$32</f>
        <v>-7786.1234375</v>
      </c>
      <c r="F20" s="34" t="n">
        <f aca="false">-MAX(0,F19)*Вводные!$B$32</f>
        <v>-69.7003125</v>
      </c>
      <c r="G20" s="4"/>
      <c r="H20" s="4"/>
    </row>
    <row r="21" customFormat="false" ht="15" hidden="false" customHeight="false" outlineLevel="0" collapsed="false">
      <c r="A21" s="25" t="s">
        <v>353</v>
      </c>
      <c r="B21" s="34" t="n">
        <f aca="false">B19+B20</f>
        <v>-128718.765625</v>
      </c>
      <c r="C21" s="81" t="n">
        <f aca="false">C19+C20</f>
        <v>8643.63</v>
      </c>
      <c r="D21" s="34" t="n">
        <f aca="false">D19+D20</f>
        <v>65198.0484895833</v>
      </c>
      <c r="E21" s="34" t="n">
        <f aca="false">E19+E20</f>
        <v>89540.41953125</v>
      </c>
      <c r="F21" s="34" t="n">
        <f aca="false">F19+F20</f>
        <v>801.55359375</v>
      </c>
      <c r="G21" s="4"/>
      <c r="H21" s="4"/>
    </row>
    <row r="22" customFormat="false" ht="15" hidden="false" customHeight="false" outlineLevel="0" collapsed="false">
      <c r="A22" s="25" t="s">
        <v>354</v>
      </c>
      <c r="B22" s="34" t="n">
        <f aca="false">IF(Вводные!$B$38="Да",0,Билеты!$E$32)*(1-Вводные!$B$32)</f>
        <v>53360</v>
      </c>
      <c r="C22" s="81" t="n">
        <f aca="false">IF(Вводные!$B$38="Да",0,Билеты!$E$32)*(1-Вводные!$B$32)</f>
        <v>53360</v>
      </c>
      <c r="D22" s="34" t="n">
        <f aca="false">IF(Вводные!$B$38="Да",0,Билеты!$E$32)*(1-Вводные!$B$32)</f>
        <v>53360</v>
      </c>
      <c r="E22" s="34" t="n">
        <f aca="false">IF(Вводные!$B$38="Да",0,Билеты!$E$32)*(1-Вводные!$B$32)</f>
        <v>53360</v>
      </c>
      <c r="F22" s="34" t="n">
        <f aca="false">IF(Вводные!$B$38="Да",0,Билеты!$E$32)*(1-Вводные!$B$32)</f>
        <v>53360</v>
      </c>
      <c r="G22" s="4"/>
      <c r="H22" s="4"/>
    </row>
    <row r="23" customFormat="false" ht="21.75" hidden="false" customHeight="true" outlineLevel="0" collapsed="false">
      <c r="A23" s="6" t="s">
        <v>322</v>
      </c>
      <c r="B23" s="83" t="n">
        <f aca="false">B21+B22</f>
        <v>-75358.765625</v>
      </c>
      <c r="C23" s="84" t="n">
        <f aca="false">C21+C22</f>
        <v>62003.63</v>
      </c>
      <c r="D23" s="83" t="n">
        <f aca="false">D21+D22</f>
        <v>118558.048489583</v>
      </c>
      <c r="E23" s="83" t="n">
        <f aca="false">E21+E22</f>
        <v>142900.41953125</v>
      </c>
      <c r="F23" s="83" t="n">
        <f aca="false">F21+F22</f>
        <v>54161.55359375</v>
      </c>
      <c r="G23" s="3" t="s">
        <v>355</v>
      </c>
      <c r="H23" s="4"/>
    </row>
    <row r="24" customFormat="false" ht="15" hidden="false" customHeight="false" outlineLevel="0" collapsed="false">
      <c r="A24" s="25" t="s">
        <v>330</v>
      </c>
      <c r="B24" s="35" t="n">
        <f aca="false">IFERROR(B23/B9,0)</f>
        <v>-0.272302137558012</v>
      </c>
      <c r="C24" s="79" t="n">
        <f aca="false">IFERROR(C23/C9,0)</f>
        <v>0.13302645355074</v>
      </c>
      <c r="D24" s="35" t="n">
        <f aca="false">IFERROR(D23/D9,0)</f>
        <v>0.19002907068088</v>
      </c>
      <c r="E24" s="35" t="n">
        <f aca="false">IFERROR(E23/E9,0)</f>
        <v>0.206543137343466</v>
      </c>
      <c r="F24" s="35" t="n">
        <f aca="false">IFERROR(F23/F9,0)</f>
        <v>0.121916405400938</v>
      </c>
      <c r="G24" s="4"/>
      <c r="H24" s="4"/>
    </row>
    <row r="25" customFormat="false" ht="15" hidden="false" customHeight="false" outlineLevel="0" collapsed="false">
      <c r="A25" s="25" t="s">
        <v>356</v>
      </c>
      <c r="B25" s="34" t="n">
        <f aca="false">B23-$C$23</f>
        <v>-137362.395625</v>
      </c>
      <c r="C25" s="34" t="n">
        <f aca="false">C23-$C$23</f>
        <v>0</v>
      </c>
      <c r="D25" s="34" t="n">
        <f aca="false">D23-$C$23</f>
        <v>56554.4184895833</v>
      </c>
      <c r="E25" s="34" t="n">
        <f aca="false">E23-$C$23</f>
        <v>80896.78953125</v>
      </c>
      <c r="F25" s="34" t="n">
        <f aca="false">F23-$C$23</f>
        <v>-7842.07640625</v>
      </c>
      <c r="G25" s="3" t="s">
        <v>357</v>
      </c>
      <c r="H25" s="4"/>
    </row>
  </sheetData>
  <conditionalFormatting sqref="B23:F23">
    <cfRule type="cellIs" priority="2" operator="lessThan" aboveAverage="0" equalAverage="0" bottom="0" percent="0" rank="0" text="" dxfId="0">
      <formula>0</formula>
    </cfRule>
  </conditionalFormatting>
  <conditionalFormatting sqref="B17:F17">
    <cfRule type="cellIs" priority="3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8" min="2" style="0" width="15"/>
  </cols>
  <sheetData>
    <row r="1" customFormat="false" ht="30" hidden="false" customHeight="true" outlineLevel="0" collapsed="false">
      <c r="A1" s="1" t="s">
        <v>358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3" t="s">
        <v>359</v>
      </c>
      <c r="B2" s="4"/>
      <c r="C2" s="4"/>
      <c r="D2" s="4"/>
      <c r="E2" s="4"/>
      <c r="F2" s="4"/>
      <c r="G2" s="4"/>
      <c r="H2" s="4"/>
    </row>
    <row r="3" customFormat="false" ht="15" hidden="false" customHeight="false" outlineLevel="0" collapsed="false">
      <c r="A3" s="4"/>
      <c r="B3" s="4"/>
      <c r="C3" s="4"/>
      <c r="D3" s="4"/>
      <c r="E3" s="4"/>
      <c r="F3" s="4"/>
      <c r="G3" s="4"/>
      <c r="H3" s="4"/>
    </row>
    <row r="4" customFormat="false" ht="15" hidden="false" customHeight="false" outlineLevel="0" collapsed="false">
      <c r="A4" s="85" t="s">
        <v>360</v>
      </c>
      <c r="B4" s="4"/>
      <c r="C4" s="4"/>
      <c r="D4" s="4"/>
      <c r="E4" s="4"/>
      <c r="F4" s="4"/>
      <c r="G4" s="4"/>
      <c r="H4" s="4"/>
    </row>
    <row r="5" customFormat="false" ht="31.5" hidden="false" customHeight="true" outlineLevel="0" collapsed="false">
      <c r="A5" s="31" t="s">
        <v>361</v>
      </c>
      <c r="B5" s="86" t="n">
        <v>1500</v>
      </c>
      <c r="C5" s="86" t="n">
        <v>2000</v>
      </c>
      <c r="D5" s="86" t="n">
        <v>2500</v>
      </c>
      <c r="E5" s="86" t="n">
        <v>3000</v>
      </c>
      <c r="F5" s="86" t="n">
        <v>3500</v>
      </c>
      <c r="G5" s="86" t="n">
        <v>4000</v>
      </c>
      <c r="H5" s="86" t="n">
        <v>4500</v>
      </c>
    </row>
    <row r="6" customFormat="false" ht="15" hidden="false" customHeight="false" outlineLevel="0" collapsed="false">
      <c r="A6" s="87" t="n">
        <v>0.3</v>
      </c>
      <c r="B6" s="34" t="n">
        <f aca="false">((Вводные!$B$12*$A6*Билеты!$B$23)*B$5)-IF(Вводные!$B$18=2,((Вводные!$B$12*$A6*Билеты!$B$23)*B$5)*(1-Вводные!$B$20)*Вводные!$B$19,0)-((Вводные!$B$12*$A6*Билеты!$B$23)*B$5)*Вводные!$B$26-((Вводные!$B$12*$A6*Билеты!$B$23)*B$5)*Вводные!$B$25-(Вводные!$B$12*$A6)*Вводные!$B$41-Расходы!$E$58+IF(Вводные!$B$38="Да",Билеты!$E$32*(1-Вводные!$B$25),0)</f>
        <v>-246404.95049505</v>
      </c>
      <c r="C6" s="34" t="n">
        <f aca="false">((Вводные!$B$12*$A6*Билеты!$B$23)*C$5)-IF(Вводные!$B$18=2,((Вводные!$B$12*$A6*Билеты!$B$23)*C$5)*(1-Вводные!$B$20)*Вводные!$B$19,0)-((Вводные!$B$12*$A6*Билеты!$B$23)*C$5)*Вводные!$B$26-((Вводные!$B$12*$A6*Билеты!$B$23)*C$5)*Вводные!$B$25-(Вводные!$B$12*$A6)*Вводные!$B$41-Расходы!$E$58+IF(Вводные!$B$38="Да",Билеты!$E$32*(1-Вводные!$B$25),0)</f>
        <v>-211973.267326733</v>
      </c>
      <c r="D6" s="34" t="n">
        <f aca="false">((Вводные!$B$12*$A6*Билеты!$B$23)*D$5)-IF(Вводные!$B$18=2,((Вводные!$B$12*$A6*Билеты!$B$23)*D$5)*(1-Вводные!$B$20)*Вводные!$B$19,0)-((Вводные!$B$12*$A6*Билеты!$B$23)*D$5)*Вводные!$B$26-((Вводные!$B$12*$A6*Билеты!$B$23)*D$5)*Вводные!$B$25-(Вводные!$B$12*$A6)*Вводные!$B$41-Расходы!$E$58+IF(Вводные!$B$38="Да",Билеты!$E$32*(1-Вводные!$B$25),0)</f>
        <v>-177541.584158416</v>
      </c>
      <c r="E6" s="34" t="n">
        <f aca="false">((Вводные!$B$12*$A6*Билеты!$B$23)*E$5)-IF(Вводные!$B$18=2,((Вводные!$B$12*$A6*Билеты!$B$23)*E$5)*(1-Вводные!$B$20)*Вводные!$B$19,0)-((Вводные!$B$12*$A6*Билеты!$B$23)*E$5)*Вводные!$B$26-((Вводные!$B$12*$A6*Билеты!$B$23)*E$5)*Вводные!$B$25-(Вводные!$B$12*$A6)*Вводные!$B$41-Расходы!$E$58+IF(Вводные!$B$38="Да",Билеты!$E$32*(1-Вводные!$B$25),0)</f>
        <v>-143109.900990099</v>
      </c>
      <c r="F6" s="34" t="n">
        <f aca="false">((Вводные!$B$12*$A6*Билеты!$B$23)*F$5)-IF(Вводные!$B$18=2,((Вводные!$B$12*$A6*Билеты!$B$23)*F$5)*(1-Вводные!$B$20)*Вводные!$B$19,0)-((Вводные!$B$12*$A6*Билеты!$B$23)*F$5)*Вводные!$B$26-((Вводные!$B$12*$A6*Билеты!$B$23)*F$5)*Вводные!$B$25-(Вводные!$B$12*$A6)*Вводные!$B$41-Расходы!$E$58+IF(Вводные!$B$38="Да",Билеты!$E$32*(1-Вводные!$B$25),0)</f>
        <v>-108678.217821782</v>
      </c>
      <c r="G6" s="34" t="n">
        <f aca="false">((Вводные!$B$12*$A6*Билеты!$B$23)*G$5)-IF(Вводные!$B$18=2,((Вводные!$B$12*$A6*Билеты!$B$23)*G$5)*(1-Вводные!$B$20)*Вводные!$B$19,0)-((Вводные!$B$12*$A6*Билеты!$B$23)*G$5)*Вводные!$B$26-((Вводные!$B$12*$A6*Билеты!$B$23)*G$5)*Вводные!$B$25-(Вводные!$B$12*$A6)*Вводные!$B$41-Расходы!$E$58+IF(Вводные!$B$38="Да",Билеты!$E$32*(1-Вводные!$B$25),0)</f>
        <v>-74246.5346534654</v>
      </c>
      <c r="H6" s="34" t="n">
        <f aca="false">((Вводные!$B$12*$A6*Билеты!$B$23)*H$5)-IF(Вводные!$B$18=2,((Вводные!$B$12*$A6*Билеты!$B$23)*H$5)*(1-Вводные!$B$20)*Вводные!$B$19,0)-((Вводные!$B$12*$A6*Билеты!$B$23)*H$5)*Вводные!$B$26-((Вводные!$B$12*$A6*Билеты!$B$23)*H$5)*Вводные!$B$25-(Вводные!$B$12*$A6)*Вводные!$B$41-Расходы!$E$58+IF(Вводные!$B$38="Да",Билеты!$E$32*(1-Вводные!$B$25),0)</f>
        <v>-39814.8514851485</v>
      </c>
    </row>
    <row r="7" customFormat="false" ht="15" hidden="false" customHeight="false" outlineLevel="0" collapsed="false">
      <c r="A7" s="87" t="n">
        <v>0.4</v>
      </c>
      <c r="B7" s="34" t="n">
        <f aca="false">((Вводные!$B$12*$A7*Билеты!$B$23)*B$5)-IF(Вводные!$B$18=2,((Вводные!$B$12*$A7*Билеты!$B$23)*B$5)*(1-Вводные!$B$20)*Вводные!$B$19,0)-((Вводные!$B$12*$A7*Билеты!$B$23)*B$5)*Вводные!$B$26-((Вводные!$B$12*$A7*Билеты!$B$23)*B$5)*Вводные!$B$25-(Вводные!$B$12*$A7)*Вводные!$B$41-Расходы!$E$58+IF(Вводные!$B$38="Да",Билеты!$E$32*(1-Вводные!$B$25),0)</f>
        <v>-213773.267326733</v>
      </c>
      <c r="C7" s="34" t="n">
        <f aca="false">((Вводные!$B$12*$A7*Билеты!$B$23)*C$5)-IF(Вводные!$B$18=2,((Вводные!$B$12*$A7*Билеты!$B$23)*C$5)*(1-Вводные!$B$20)*Вводные!$B$19,0)-((Вводные!$B$12*$A7*Билеты!$B$23)*C$5)*Вводные!$B$26-((Вводные!$B$12*$A7*Билеты!$B$23)*C$5)*Вводные!$B$25-(Вводные!$B$12*$A7)*Вводные!$B$41-Расходы!$E$58+IF(Вводные!$B$38="Да",Билеты!$E$32*(1-Вводные!$B$25),0)</f>
        <v>-167864.356435644</v>
      </c>
      <c r="D7" s="34" t="n">
        <f aca="false">((Вводные!$B$12*$A7*Билеты!$B$23)*D$5)-IF(Вводные!$B$18=2,((Вводные!$B$12*$A7*Билеты!$B$23)*D$5)*(1-Вводные!$B$20)*Вводные!$B$19,0)-((Вводные!$B$12*$A7*Билеты!$B$23)*D$5)*Вводные!$B$26-((Вводные!$B$12*$A7*Билеты!$B$23)*D$5)*Вводные!$B$25-(Вводные!$B$12*$A7)*Вводные!$B$41-Расходы!$E$58+IF(Вводные!$B$38="Да",Билеты!$E$32*(1-Вводные!$B$25),0)</f>
        <v>-121955.445544554</v>
      </c>
      <c r="E7" s="34" t="n">
        <f aca="false">((Вводные!$B$12*$A7*Билеты!$B$23)*E$5)-IF(Вводные!$B$18=2,((Вводные!$B$12*$A7*Билеты!$B$23)*E$5)*(1-Вводные!$B$20)*Вводные!$B$19,0)-((Вводные!$B$12*$A7*Билеты!$B$23)*E$5)*Вводные!$B$26-((Вводные!$B$12*$A7*Билеты!$B$23)*E$5)*Вводные!$B$25-(Вводные!$B$12*$A7)*Вводные!$B$41-Расходы!$E$58+IF(Вводные!$B$38="Да",Билеты!$E$32*(1-Вводные!$B$25),0)</f>
        <v>-76046.5346534654</v>
      </c>
      <c r="F7" s="34" t="n">
        <f aca="false">((Вводные!$B$12*$A7*Билеты!$B$23)*F$5)-IF(Вводные!$B$18=2,((Вводные!$B$12*$A7*Билеты!$B$23)*F$5)*(1-Вводные!$B$20)*Вводные!$B$19,0)-((Вводные!$B$12*$A7*Билеты!$B$23)*F$5)*Вводные!$B$26-((Вводные!$B$12*$A7*Билеты!$B$23)*F$5)*Вводные!$B$25-(Вводные!$B$12*$A7)*Вводные!$B$41-Расходы!$E$58+IF(Вводные!$B$38="Да",Билеты!$E$32*(1-Вводные!$B$25),0)</f>
        <v>-30137.6237623763</v>
      </c>
      <c r="G7" s="34" t="n">
        <f aca="false">((Вводные!$B$12*$A7*Билеты!$B$23)*G$5)-IF(Вводные!$B$18=2,((Вводные!$B$12*$A7*Билеты!$B$23)*G$5)*(1-Вводные!$B$20)*Вводные!$B$19,0)-((Вводные!$B$12*$A7*Билеты!$B$23)*G$5)*Вводные!$B$26-((Вводные!$B$12*$A7*Билеты!$B$23)*G$5)*Вводные!$B$25-(Вводные!$B$12*$A7)*Вводные!$B$41-Расходы!$E$58+IF(Вводные!$B$38="Да",Билеты!$E$32*(1-Вводные!$B$25),0)</f>
        <v>15771.2871287128</v>
      </c>
      <c r="H7" s="34" t="n">
        <f aca="false">((Вводные!$B$12*$A7*Билеты!$B$23)*H$5)-IF(Вводные!$B$18=2,((Вводные!$B$12*$A7*Билеты!$B$23)*H$5)*(1-Вводные!$B$20)*Вводные!$B$19,0)-((Вводные!$B$12*$A7*Билеты!$B$23)*H$5)*Вводные!$B$26-((Вводные!$B$12*$A7*Билеты!$B$23)*H$5)*Вводные!$B$25-(Вводные!$B$12*$A7)*Вводные!$B$41-Расходы!$E$58+IF(Вводные!$B$38="Да",Билеты!$E$32*(1-Вводные!$B$25),0)</f>
        <v>61680.1980198019</v>
      </c>
    </row>
    <row r="8" customFormat="false" ht="15" hidden="false" customHeight="false" outlineLevel="0" collapsed="false">
      <c r="A8" s="87" t="n">
        <v>0.5</v>
      </c>
      <c r="B8" s="34" t="n">
        <f aca="false">((Вводные!$B$12*$A8*Билеты!$B$23)*B$5)-IF(Вводные!$B$18=2,((Вводные!$B$12*$A8*Билеты!$B$23)*B$5)*(1-Вводные!$B$20)*Вводные!$B$19,0)-((Вводные!$B$12*$A8*Билеты!$B$23)*B$5)*Вводные!$B$26-((Вводные!$B$12*$A8*Билеты!$B$23)*B$5)*Вводные!$B$25-(Вводные!$B$12*$A8)*Вводные!$B$41-Расходы!$E$58+IF(Вводные!$B$38="Да",Билеты!$E$32*(1-Вводные!$B$25),0)</f>
        <v>-181141.584158416</v>
      </c>
      <c r="C8" s="34" t="n">
        <f aca="false">((Вводные!$B$12*$A8*Билеты!$B$23)*C$5)-IF(Вводные!$B$18=2,((Вводные!$B$12*$A8*Билеты!$B$23)*C$5)*(1-Вводные!$B$20)*Вводные!$B$19,0)-((Вводные!$B$12*$A8*Билеты!$B$23)*C$5)*Вводные!$B$26-((Вводные!$B$12*$A8*Билеты!$B$23)*C$5)*Вводные!$B$25-(Вводные!$B$12*$A8)*Вводные!$B$41-Расходы!$E$58+IF(Вводные!$B$38="Да",Билеты!$E$32*(1-Вводные!$B$25),0)</f>
        <v>-123755.445544554</v>
      </c>
      <c r="D8" s="34" t="n">
        <f aca="false">((Вводные!$B$12*$A8*Билеты!$B$23)*D$5)-IF(Вводные!$B$18=2,((Вводные!$B$12*$A8*Билеты!$B$23)*D$5)*(1-Вводные!$B$20)*Вводные!$B$19,0)-((Вводные!$B$12*$A8*Билеты!$B$23)*D$5)*Вводные!$B$26-((Вводные!$B$12*$A8*Билеты!$B$23)*D$5)*Вводные!$B$25-(Вводные!$B$12*$A8)*Вводные!$B$41-Расходы!$E$58+IF(Вводные!$B$38="Да",Билеты!$E$32*(1-Вводные!$B$25),0)</f>
        <v>-66369.3069306932</v>
      </c>
      <c r="E8" s="34" t="n">
        <f aca="false">((Вводные!$B$12*$A8*Билеты!$B$23)*E$5)-IF(Вводные!$B$18=2,((Вводные!$B$12*$A8*Билеты!$B$23)*E$5)*(1-Вводные!$B$20)*Вводные!$B$19,0)-((Вводные!$B$12*$A8*Билеты!$B$23)*E$5)*Вводные!$B$26-((Вводные!$B$12*$A8*Билеты!$B$23)*E$5)*Вводные!$B$25-(Вводные!$B$12*$A8)*Вводные!$B$41-Расходы!$E$58+IF(Вводные!$B$38="Да",Билеты!$E$32*(1-Вводные!$B$25),0)</f>
        <v>-8983.16831683175</v>
      </c>
      <c r="F8" s="34" t="n">
        <f aca="false">((Вводные!$B$12*$A8*Билеты!$B$23)*F$5)-IF(Вводные!$B$18=2,((Вводные!$B$12*$A8*Билеты!$B$23)*F$5)*(1-Вводные!$B$20)*Вводные!$B$19,0)-((Вводные!$B$12*$A8*Билеты!$B$23)*F$5)*Вводные!$B$26-((Вводные!$B$12*$A8*Билеты!$B$23)*F$5)*Вводные!$B$25-(Вводные!$B$12*$A8)*Вводные!$B$41-Расходы!$E$58+IF(Вводные!$B$38="Да",Билеты!$E$32*(1-Вводные!$B$25),0)</f>
        <v>48402.9702970296</v>
      </c>
      <c r="G8" s="34" t="n">
        <f aca="false">((Вводные!$B$12*$A8*Билеты!$B$23)*G$5)-IF(Вводные!$B$18=2,((Вводные!$B$12*$A8*Билеты!$B$23)*G$5)*(1-Вводные!$B$20)*Вводные!$B$19,0)-((Вводные!$B$12*$A8*Билеты!$B$23)*G$5)*Вводные!$B$26-((Вводные!$B$12*$A8*Билеты!$B$23)*G$5)*Вводные!$B$25-(Вводные!$B$12*$A8)*Вводные!$B$41-Расходы!$E$58+IF(Вводные!$B$38="Да",Билеты!$E$32*(1-Вводные!$B$25),0)</f>
        <v>105789.108910891</v>
      </c>
      <c r="H8" s="34" t="n">
        <f aca="false">((Вводные!$B$12*$A8*Билеты!$B$23)*H$5)-IF(Вводные!$B$18=2,((Вводные!$B$12*$A8*Билеты!$B$23)*H$5)*(1-Вводные!$B$20)*Вводные!$B$19,0)-((Вводные!$B$12*$A8*Билеты!$B$23)*H$5)*Вводные!$B$26-((Вводные!$B$12*$A8*Билеты!$B$23)*H$5)*Вводные!$B$25-(Вводные!$B$12*$A8)*Вводные!$B$41-Расходы!$E$58+IF(Вводные!$B$38="Да",Билеты!$E$32*(1-Вводные!$B$25),0)</f>
        <v>163175.247524752</v>
      </c>
    </row>
    <row r="9" customFormat="false" ht="15" hidden="false" customHeight="false" outlineLevel="0" collapsed="false">
      <c r="A9" s="87" t="n">
        <v>0.6</v>
      </c>
      <c r="B9" s="34" t="n">
        <f aca="false">((Вводные!$B$12*$A9*Билеты!$B$23)*B$5)-IF(Вводные!$B$18=2,((Вводные!$B$12*$A9*Билеты!$B$23)*B$5)*(1-Вводные!$B$20)*Вводные!$B$19,0)-((Вводные!$B$12*$A9*Билеты!$B$23)*B$5)*Вводные!$B$26-((Вводные!$B$12*$A9*Билеты!$B$23)*B$5)*Вводные!$B$25-(Вводные!$B$12*$A9)*Вводные!$B$41-Расходы!$E$58+IF(Вводные!$B$38="Да",Билеты!$E$32*(1-Вводные!$B$25),0)</f>
        <v>-148509.900990099</v>
      </c>
      <c r="C9" s="34" t="n">
        <f aca="false">((Вводные!$B$12*$A9*Билеты!$B$23)*C$5)-IF(Вводные!$B$18=2,((Вводные!$B$12*$A9*Билеты!$B$23)*C$5)*(1-Вводные!$B$20)*Вводные!$B$19,0)-((Вводные!$B$12*$A9*Билеты!$B$23)*C$5)*Вводные!$B$26-((Вводные!$B$12*$A9*Билеты!$B$23)*C$5)*Вводные!$B$25-(Вводные!$B$12*$A9)*Вводные!$B$41-Расходы!$E$58+IF(Вводные!$B$38="Да",Билеты!$E$32*(1-Вводные!$B$25),0)</f>
        <v>-79646.5346534654</v>
      </c>
      <c r="D9" s="34" t="n">
        <f aca="false">((Вводные!$B$12*$A9*Билеты!$B$23)*D$5)-IF(Вводные!$B$18=2,((Вводные!$B$12*$A9*Билеты!$B$23)*D$5)*(1-Вводные!$B$20)*Вводные!$B$19,0)-((Вводные!$B$12*$A9*Билеты!$B$23)*D$5)*Вводные!$B$26-((Вводные!$B$12*$A9*Билеты!$B$23)*D$5)*Вводные!$B$25-(Вводные!$B$12*$A9)*Вводные!$B$41-Расходы!$E$58+IF(Вводные!$B$38="Да",Билеты!$E$32*(1-Вводные!$B$25),0)</f>
        <v>-10783.1683168318</v>
      </c>
      <c r="E9" s="34" t="n">
        <f aca="false">((Вводные!$B$12*$A9*Билеты!$B$23)*E$5)-IF(Вводные!$B$18=2,((Вводные!$B$12*$A9*Билеты!$B$23)*E$5)*(1-Вводные!$B$20)*Вводные!$B$19,0)-((Вводные!$B$12*$A9*Билеты!$B$23)*E$5)*Вводные!$B$26-((Вводные!$B$12*$A9*Билеты!$B$23)*E$5)*Вводные!$B$25-(Вводные!$B$12*$A9)*Вводные!$B$41-Расходы!$E$58+IF(Вводные!$B$38="Да",Билеты!$E$32*(1-Вводные!$B$25),0)</f>
        <v>58080.1980198019</v>
      </c>
      <c r="F9" s="34" t="n">
        <f aca="false">((Вводные!$B$12*$A9*Билеты!$B$23)*F$5)-IF(Вводные!$B$18=2,((Вводные!$B$12*$A9*Билеты!$B$23)*F$5)*(1-Вводные!$B$20)*Вводные!$B$19,0)-((Вводные!$B$12*$A9*Билеты!$B$23)*F$5)*Вводные!$B$26-((Вводные!$B$12*$A9*Билеты!$B$23)*F$5)*Вводные!$B$25-(Вводные!$B$12*$A9)*Вводные!$B$41-Расходы!$E$58+IF(Вводные!$B$38="Да",Билеты!$E$32*(1-Вводные!$B$25),0)</f>
        <v>126943.564356436</v>
      </c>
      <c r="G9" s="34" t="n">
        <f aca="false">((Вводные!$B$12*$A9*Билеты!$B$23)*G$5)-IF(Вводные!$B$18=2,((Вводные!$B$12*$A9*Билеты!$B$23)*G$5)*(1-Вводные!$B$20)*Вводные!$B$19,0)-((Вводные!$B$12*$A9*Билеты!$B$23)*G$5)*Вводные!$B$26-((Вводные!$B$12*$A9*Билеты!$B$23)*G$5)*Вводные!$B$25-(Вводные!$B$12*$A9)*Вводные!$B$41-Расходы!$E$58+IF(Вводные!$B$38="Да",Билеты!$E$32*(1-Вводные!$B$25),0)</f>
        <v>195806.930693069</v>
      </c>
      <c r="H9" s="34" t="n">
        <f aca="false">((Вводные!$B$12*$A9*Билеты!$B$23)*H$5)-IF(Вводные!$B$18=2,((Вводные!$B$12*$A9*Билеты!$B$23)*H$5)*(1-Вводные!$B$20)*Вводные!$B$19,0)-((Вводные!$B$12*$A9*Билеты!$B$23)*H$5)*Вводные!$B$26-((Вводные!$B$12*$A9*Билеты!$B$23)*H$5)*Вводные!$B$25-(Вводные!$B$12*$A9)*Вводные!$B$41-Расходы!$E$58+IF(Вводные!$B$38="Да",Билеты!$E$32*(1-Вводные!$B$25),0)</f>
        <v>264670.297029703</v>
      </c>
    </row>
    <row r="10" customFormat="false" ht="15" hidden="false" customHeight="false" outlineLevel="0" collapsed="false">
      <c r="A10" s="87" t="n">
        <v>0.7</v>
      </c>
      <c r="B10" s="34" t="n">
        <f aca="false">((Вводные!$B$12*$A10*Билеты!$B$23)*B$5)-IF(Вводные!$B$18=2,((Вводные!$B$12*$A10*Билеты!$B$23)*B$5)*(1-Вводные!$B$20)*Вводные!$B$19,0)-((Вводные!$B$12*$A10*Билеты!$B$23)*B$5)*Вводные!$B$26-((Вводные!$B$12*$A10*Билеты!$B$23)*B$5)*Вводные!$B$25-(Вводные!$B$12*$A10)*Вводные!$B$41-Расходы!$E$58+IF(Вводные!$B$38="Да",Билеты!$E$32*(1-Вводные!$B$25),0)</f>
        <v>-115878.217821782</v>
      </c>
      <c r="C10" s="34" t="n">
        <f aca="false">((Вводные!$B$12*$A10*Билеты!$B$23)*C$5)-IF(Вводные!$B$18=2,((Вводные!$B$12*$A10*Билеты!$B$23)*C$5)*(1-Вводные!$B$20)*Вводные!$B$19,0)-((Вводные!$B$12*$A10*Билеты!$B$23)*C$5)*Вводные!$B$26-((Вводные!$B$12*$A10*Билеты!$B$23)*C$5)*Вводные!$B$25-(Вводные!$B$12*$A10)*Вводные!$B$41-Расходы!$E$58+IF(Вводные!$B$38="Да",Билеты!$E$32*(1-Вводные!$B$25),0)</f>
        <v>-35537.6237623763</v>
      </c>
      <c r="D10" s="34" t="n">
        <f aca="false">((Вводные!$B$12*$A10*Билеты!$B$23)*D$5)-IF(Вводные!$B$18=2,((Вводные!$B$12*$A10*Билеты!$B$23)*D$5)*(1-Вводные!$B$20)*Вводные!$B$19,0)-((Вводные!$B$12*$A10*Билеты!$B$23)*D$5)*Вводные!$B$26-((Вводные!$B$12*$A10*Билеты!$B$23)*D$5)*Вводные!$B$25-(Вводные!$B$12*$A10)*Вводные!$B$41-Расходы!$E$58+IF(Вводные!$B$38="Да",Билеты!$E$32*(1-Вводные!$B$25),0)</f>
        <v>44802.9702970296</v>
      </c>
      <c r="E10" s="34" t="n">
        <f aca="false">((Вводные!$B$12*$A10*Билеты!$B$23)*E$5)-IF(Вводные!$B$18=2,((Вводные!$B$12*$A10*Билеты!$B$23)*E$5)*(1-Вводные!$B$20)*Вводные!$B$19,0)-((Вводные!$B$12*$A10*Билеты!$B$23)*E$5)*Вводные!$B$26-((Вводные!$B$12*$A10*Билеты!$B$23)*E$5)*Вводные!$B$25-(Вводные!$B$12*$A10)*Вводные!$B$41-Расходы!$E$58+IF(Вводные!$B$38="Да",Билеты!$E$32*(1-Вводные!$B$25),0)</f>
        <v>125143.564356436</v>
      </c>
      <c r="F10" s="34" t="n">
        <f aca="false">((Вводные!$B$12*$A10*Билеты!$B$23)*F$5)-IF(Вводные!$B$18=2,((Вводные!$B$12*$A10*Билеты!$B$23)*F$5)*(1-Вводные!$B$20)*Вводные!$B$19,0)-((Вводные!$B$12*$A10*Билеты!$B$23)*F$5)*Вводные!$B$26-((Вводные!$B$12*$A10*Билеты!$B$23)*F$5)*Вводные!$B$25-(Вводные!$B$12*$A10)*Вводные!$B$41-Расходы!$E$58+IF(Вводные!$B$38="Да",Билеты!$E$32*(1-Вводные!$B$25),0)</f>
        <v>205484.158415842</v>
      </c>
      <c r="G10" s="34" t="n">
        <f aca="false">((Вводные!$B$12*$A10*Билеты!$B$23)*G$5)-IF(Вводные!$B$18=2,((Вводные!$B$12*$A10*Билеты!$B$23)*G$5)*(1-Вводные!$B$20)*Вводные!$B$19,0)-((Вводные!$B$12*$A10*Билеты!$B$23)*G$5)*Вводные!$B$26-((Вводные!$B$12*$A10*Билеты!$B$23)*G$5)*Вводные!$B$25-(Вводные!$B$12*$A10)*Вводные!$B$41-Расходы!$E$58+IF(Вводные!$B$38="Да",Билеты!$E$32*(1-Вводные!$B$25),0)</f>
        <v>285824.752475248</v>
      </c>
      <c r="H10" s="34" t="n">
        <f aca="false">((Вводные!$B$12*$A10*Билеты!$B$23)*H$5)-IF(Вводные!$B$18=2,((Вводные!$B$12*$A10*Билеты!$B$23)*H$5)*(1-Вводные!$B$20)*Вводные!$B$19,0)-((Вводные!$B$12*$A10*Билеты!$B$23)*H$5)*Вводные!$B$26-((Вводные!$B$12*$A10*Билеты!$B$23)*H$5)*Вводные!$B$25-(Вводные!$B$12*$A10)*Вводные!$B$41-Расходы!$E$58+IF(Вводные!$B$38="Да",Билеты!$E$32*(1-Вводные!$B$25),0)</f>
        <v>366165.346534653</v>
      </c>
    </row>
    <row r="11" customFormat="false" ht="15" hidden="false" customHeight="false" outlineLevel="0" collapsed="false">
      <c r="A11" s="87" t="n">
        <v>0.8</v>
      </c>
      <c r="B11" s="34" t="n">
        <f aca="false">((Вводные!$B$12*$A11*Билеты!$B$23)*B$5)-IF(Вводные!$B$18=2,((Вводные!$B$12*$A11*Билеты!$B$23)*B$5)*(1-Вводные!$B$20)*Вводные!$B$19,0)-((Вводные!$B$12*$A11*Билеты!$B$23)*B$5)*Вводные!$B$26-((Вводные!$B$12*$A11*Билеты!$B$23)*B$5)*Вводные!$B$25-(Вводные!$B$12*$A11)*Вводные!$B$41-Расходы!$E$58+IF(Вводные!$B$38="Да",Билеты!$E$32*(1-Вводные!$B$25),0)</f>
        <v>-83246.5346534654</v>
      </c>
      <c r="C11" s="34" t="n">
        <f aca="false">((Вводные!$B$12*$A11*Билеты!$B$23)*C$5)-IF(Вводные!$B$18=2,((Вводные!$B$12*$A11*Билеты!$B$23)*C$5)*(1-Вводные!$B$20)*Вводные!$B$19,0)-((Вводные!$B$12*$A11*Билеты!$B$23)*C$5)*Вводные!$B$26-((Вводные!$B$12*$A11*Билеты!$B$23)*C$5)*Вводные!$B$25-(Вводные!$B$12*$A11)*Вводные!$B$41-Расходы!$E$58+IF(Вводные!$B$38="Да",Билеты!$E$32*(1-Вводные!$B$25),0)</f>
        <v>8571.28712871281</v>
      </c>
      <c r="D11" s="34" t="n">
        <f aca="false">((Вводные!$B$12*$A11*Билеты!$B$23)*D$5)-IF(Вводные!$B$18=2,((Вводные!$B$12*$A11*Билеты!$B$23)*D$5)*(1-Вводные!$B$20)*Вводные!$B$19,0)-((Вводные!$B$12*$A11*Билеты!$B$23)*D$5)*Вводные!$B$26-((Вводные!$B$12*$A11*Билеты!$B$23)*D$5)*Вводные!$B$25-(Вводные!$B$12*$A11)*Вводные!$B$41-Расходы!$E$58+IF(Вводные!$B$38="Да",Билеты!$E$32*(1-Вводные!$B$25),0)</f>
        <v>100389.108910891</v>
      </c>
      <c r="E11" s="34" t="n">
        <f aca="false">((Вводные!$B$12*$A11*Билеты!$B$23)*E$5)-IF(Вводные!$B$18=2,((Вводные!$B$12*$A11*Билеты!$B$23)*E$5)*(1-Вводные!$B$20)*Вводные!$B$19,0)-((Вводные!$B$12*$A11*Билеты!$B$23)*E$5)*Вводные!$B$26-((Вводные!$B$12*$A11*Билеты!$B$23)*E$5)*Вводные!$B$25-(Вводные!$B$12*$A11)*Вводные!$B$41-Расходы!$E$58+IF(Вводные!$B$38="Да",Билеты!$E$32*(1-Вводные!$B$25),0)</f>
        <v>192206.930693069</v>
      </c>
      <c r="F11" s="34" t="n">
        <f aca="false">((Вводные!$B$12*$A11*Билеты!$B$23)*F$5)-IF(Вводные!$B$18=2,((Вводные!$B$12*$A11*Билеты!$B$23)*F$5)*(1-Вводные!$B$20)*Вводные!$B$19,0)-((Вводные!$B$12*$A11*Билеты!$B$23)*F$5)*Вводные!$B$26-((Вводные!$B$12*$A11*Билеты!$B$23)*F$5)*Вводные!$B$25-(Вводные!$B$12*$A11)*Вводные!$B$41-Расходы!$E$58+IF(Вводные!$B$38="Да",Билеты!$E$32*(1-Вводные!$B$25),0)</f>
        <v>284024.752475248</v>
      </c>
      <c r="G11" s="34" t="n">
        <f aca="false">((Вводные!$B$12*$A11*Билеты!$B$23)*G$5)-IF(Вводные!$B$18=2,((Вводные!$B$12*$A11*Билеты!$B$23)*G$5)*(1-Вводные!$B$20)*Вводные!$B$19,0)-((Вводные!$B$12*$A11*Билеты!$B$23)*G$5)*Вводные!$B$26-((Вводные!$B$12*$A11*Билеты!$B$23)*G$5)*Вводные!$B$25-(Вводные!$B$12*$A11)*Вводные!$B$41-Расходы!$E$58+IF(Вводные!$B$38="Да",Билеты!$E$32*(1-Вводные!$B$25),0)</f>
        <v>375842.574257426</v>
      </c>
      <c r="H11" s="34" t="n">
        <f aca="false">((Вводные!$B$12*$A11*Билеты!$B$23)*H$5)-IF(Вводные!$B$18=2,((Вводные!$B$12*$A11*Билеты!$B$23)*H$5)*(1-Вводные!$B$20)*Вводные!$B$19,0)-((Вводные!$B$12*$A11*Билеты!$B$23)*H$5)*Вводные!$B$26-((Вводные!$B$12*$A11*Билеты!$B$23)*H$5)*Вводные!$B$25-(Вводные!$B$12*$A11)*Вводные!$B$41-Расходы!$E$58+IF(Вводные!$B$38="Да",Билеты!$E$32*(1-Вводные!$B$25),0)</f>
        <v>467660.396039604</v>
      </c>
    </row>
    <row r="12" customFormat="false" ht="15" hidden="false" customHeight="false" outlineLevel="0" collapsed="false">
      <c r="A12" s="87" t="n">
        <v>0.9</v>
      </c>
      <c r="B12" s="34" t="n">
        <f aca="false">((Вводные!$B$12*$A12*Билеты!$B$23)*B$5)-IF(Вводные!$B$18=2,((Вводные!$B$12*$A12*Билеты!$B$23)*B$5)*(1-Вводные!$B$20)*Вводные!$B$19,0)-((Вводные!$B$12*$A12*Билеты!$B$23)*B$5)*Вводные!$B$26-((Вводные!$B$12*$A12*Билеты!$B$23)*B$5)*Вводные!$B$25-(Вводные!$B$12*$A12)*Вводные!$B$41-Расходы!$E$58+IF(Вводные!$B$38="Да",Билеты!$E$32*(1-Вводные!$B$25),0)</f>
        <v>-50614.8514851485</v>
      </c>
      <c r="C12" s="34" t="n">
        <f aca="false">((Вводные!$B$12*$A12*Билеты!$B$23)*C$5)-IF(Вводные!$B$18=2,((Вводные!$B$12*$A12*Билеты!$B$23)*C$5)*(1-Вводные!$B$20)*Вводные!$B$19,0)-((Вводные!$B$12*$A12*Билеты!$B$23)*C$5)*Вводные!$B$26-((Вводные!$B$12*$A12*Билеты!$B$23)*C$5)*Вводные!$B$25-(Вводные!$B$12*$A12)*Вводные!$B$41-Расходы!$E$58+IF(Вводные!$B$38="Да",Билеты!$E$32*(1-Вводные!$B$25),0)</f>
        <v>52680.1980198019</v>
      </c>
      <c r="D12" s="34" t="n">
        <f aca="false">((Вводные!$B$12*$A12*Билеты!$B$23)*D$5)-IF(Вводные!$B$18=2,((Вводные!$B$12*$A12*Билеты!$B$23)*D$5)*(1-Вводные!$B$20)*Вводные!$B$19,0)-((Вводные!$B$12*$A12*Билеты!$B$23)*D$5)*Вводные!$B$26-((Вводные!$B$12*$A12*Билеты!$B$23)*D$5)*Вводные!$B$25-(Вводные!$B$12*$A12)*Вводные!$B$41-Расходы!$E$58+IF(Вводные!$B$38="Да",Билеты!$E$32*(1-Вводные!$B$25),0)</f>
        <v>155975.247524753</v>
      </c>
      <c r="E12" s="34" t="n">
        <f aca="false">((Вводные!$B$12*$A12*Билеты!$B$23)*E$5)-IF(Вводные!$B$18=2,((Вводные!$B$12*$A12*Билеты!$B$23)*E$5)*(1-Вводные!$B$20)*Вводные!$B$19,0)-((Вводные!$B$12*$A12*Билеты!$B$23)*E$5)*Вводные!$B$26-((Вводные!$B$12*$A12*Билеты!$B$23)*E$5)*Вводные!$B$25-(Вводные!$B$12*$A12)*Вводные!$B$41-Расходы!$E$58+IF(Вводные!$B$38="Да",Билеты!$E$32*(1-Вводные!$B$25),0)</f>
        <v>259270.297029703</v>
      </c>
      <c r="F12" s="34" t="n">
        <f aca="false">((Вводные!$B$12*$A12*Билеты!$B$23)*F$5)-IF(Вводные!$B$18=2,((Вводные!$B$12*$A12*Билеты!$B$23)*F$5)*(1-Вводные!$B$20)*Вводные!$B$19,0)-((Вводные!$B$12*$A12*Билеты!$B$23)*F$5)*Вводные!$B$26-((Вводные!$B$12*$A12*Билеты!$B$23)*F$5)*Вводные!$B$25-(Вводные!$B$12*$A12)*Вводные!$B$41-Расходы!$E$58+IF(Вводные!$B$38="Да",Билеты!$E$32*(1-Вводные!$B$25),0)</f>
        <v>362565.346534654</v>
      </c>
      <c r="G12" s="34" t="n">
        <f aca="false">((Вводные!$B$12*$A12*Билеты!$B$23)*G$5)-IF(Вводные!$B$18=2,((Вводные!$B$12*$A12*Билеты!$B$23)*G$5)*(1-Вводные!$B$20)*Вводные!$B$19,0)-((Вводные!$B$12*$A12*Билеты!$B$23)*G$5)*Вводные!$B$26-((Вводные!$B$12*$A12*Билеты!$B$23)*G$5)*Вводные!$B$25-(Вводные!$B$12*$A12)*Вводные!$B$41-Расходы!$E$58+IF(Вводные!$B$38="Да",Билеты!$E$32*(1-Вводные!$B$25),0)</f>
        <v>465860.396039604</v>
      </c>
      <c r="H12" s="34" t="n">
        <f aca="false">((Вводные!$B$12*$A12*Билеты!$B$23)*H$5)-IF(Вводные!$B$18=2,((Вводные!$B$12*$A12*Билеты!$B$23)*H$5)*(1-Вводные!$B$20)*Вводные!$B$19,0)-((Вводные!$B$12*$A12*Билеты!$B$23)*H$5)*Вводные!$B$26-((Вводные!$B$12*$A12*Билеты!$B$23)*H$5)*Вводные!$B$25-(Вводные!$B$12*$A12)*Вводные!$B$41-Расходы!$E$58+IF(Вводные!$B$38="Да",Билеты!$E$32*(1-Вводные!$B$25),0)</f>
        <v>569155.445544554</v>
      </c>
    </row>
    <row r="13" customFormat="false" ht="15" hidden="false" customHeight="false" outlineLevel="0" collapsed="false">
      <c r="A13" s="87" t="n">
        <v>1</v>
      </c>
      <c r="B13" s="34" t="n">
        <f aca="false">((Вводные!$B$12*$A13*Билеты!$B$23)*B$5)-IF(Вводные!$B$18=2,((Вводные!$B$12*$A13*Билеты!$B$23)*B$5)*(1-Вводные!$B$20)*Вводные!$B$19,0)-((Вводные!$B$12*$A13*Билеты!$B$23)*B$5)*Вводные!$B$26-((Вводные!$B$12*$A13*Билеты!$B$23)*B$5)*Вводные!$B$25-(Вводные!$B$12*$A13)*Вводные!$B$41-Расходы!$E$58+IF(Вводные!$B$38="Да",Билеты!$E$32*(1-Вводные!$B$25),0)</f>
        <v>-17983.1683168318</v>
      </c>
      <c r="C13" s="34" t="n">
        <f aca="false">((Вводные!$B$12*$A13*Билеты!$B$23)*C$5)-IF(Вводные!$B$18=2,((Вводные!$B$12*$A13*Билеты!$B$23)*C$5)*(1-Вводные!$B$20)*Вводные!$B$19,0)-((Вводные!$B$12*$A13*Билеты!$B$23)*C$5)*Вводные!$B$26-((Вводные!$B$12*$A13*Билеты!$B$23)*C$5)*Вводные!$B$25-(Вводные!$B$12*$A13)*Вводные!$B$41-Расходы!$E$58+IF(Вводные!$B$38="Да",Билеты!$E$32*(1-Вводные!$B$25),0)</f>
        <v>96789.1089108911</v>
      </c>
      <c r="D13" s="34" t="n">
        <f aca="false">((Вводные!$B$12*$A13*Билеты!$B$23)*D$5)-IF(Вводные!$B$18=2,((Вводные!$B$12*$A13*Билеты!$B$23)*D$5)*(1-Вводные!$B$20)*Вводные!$B$19,0)-((Вводные!$B$12*$A13*Билеты!$B$23)*D$5)*Вводные!$B$26-((Вводные!$B$12*$A13*Билеты!$B$23)*D$5)*Вводные!$B$25-(Вводные!$B$12*$A13)*Вводные!$B$41-Расходы!$E$58+IF(Вводные!$B$38="Да",Билеты!$E$32*(1-Вводные!$B$25),0)</f>
        <v>211561.386138614</v>
      </c>
      <c r="E13" s="34" t="n">
        <f aca="false">((Вводные!$B$12*$A13*Билеты!$B$23)*E$5)-IF(Вводные!$B$18=2,((Вводные!$B$12*$A13*Билеты!$B$23)*E$5)*(1-Вводные!$B$20)*Вводные!$B$19,0)-((Вводные!$B$12*$A13*Билеты!$B$23)*E$5)*Вводные!$B$26-((Вводные!$B$12*$A13*Билеты!$B$23)*E$5)*Вводные!$B$25-(Вводные!$B$12*$A13)*Вводные!$B$41-Расходы!$E$58+IF(Вводные!$B$38="Да",Билеты!$E$32*(1-Вводные!$B$25),0)</f>
        <v>326333.663366337</v>
      </c>
      <c r="F13" s="34" t="n">
        <f aca="false">((Вводные!$B$12*$A13*Билеты!$B$23)*F$5)-IF(Вводные!$B$18=2,((Вводные!$B$12*$A13*Билеты!$B$23)*F$5)*(1-Вводные!$B$20)*Вводные!$B$19,0)-((Вводные!$B$12*$A13*Билеты!$B$23)*F$5)*Вводные!$B$26-((Вводные!$B$12*$A13*Билеты!$B$23)*F$5)*Вводные!$B$25-(Вводные!$B$12*$A13)*Вводные!$B$41-Расходы!$E$58+IF(Вводные!$B$38="Да",Билеты!$E$32*(1-Вводные!$B$25),0)</f>
        <v>441105.940594059</v>
      </c>
      <c r="G13" s="34" t="n">
        <f aca="false">((Вводные!$B$12*$A13*Билеты!$B$23)*G$5)-IF(Вводные!$B$18=2,((Вводные!$B$12*$A13*Билеты!$B$23)*G$5)*(1-Вводные!$B$20)*Вводные!$B$19,0)-((Вводные!$B$12*$A13*Билеты!$B$23)*G$5)*Вводные!$B$26-((Вводные!$B$12*$A13*Билеты!$B$23)*G$5)*Вводные!$B$25-(Вводные!$B$12*$A13)*Вводные!$B$41-Расходы!$E$58+IF(Вводные!$B$38="Да",Билеты!$E$32*(1-Вводные!$B$25),0)</f>
        <v>555878.217821782</v>
      </c>
      <c r="H13" s="34" t="n">
        <f aca="false">((Вводные!$B$12*$A13*Билеты!$B$23)*H$5)-IF(Вводные!$B$18=2,((Вводные!$B$12*$A13*Билеты!$B$23)*H$5)*(1-Вводные!$B$20)*Вводные!$B$19,0)-((Вводные!$B$12*$A13*Билеты!$B$23)*H$5)*Вводные!$B$26-((Вводные!$B$12*$A13*Билеты!$B$23)*H$5)*Вводные!$B$25-(Вводные!$B$12*$A13)*Вводные!$B$41-Расходы!$E$58+IF(Вводные!$B$38="Да",Билеты!$E$32*(1-Вводные!$B$25),0)</f>
        <v>670650.495049505</v>
      </c>
    </row>
    <row r="14" customFormat="false" ht="15" hidden="false" customHeight="false" outlineLevel="0" collapsed="false">
      <c r="A14" s="4"/>
      <c r="B14" s="4"/>
      <c r="C14" s="4"/>
      <c r="D14" s="4"/>
      <c r="E14" s="4"/>
      <c r="F14" s="4"/>
      <c r="G14" s="4"/>
      <c r="H14" s="4"/>
    </row>
    <row r="15" customFormat="false" ht="15" hidden="false" customHeight="false" outlineLevel="0" collapsed="false">
      <c r="A15" s="85" t="s">
        <v>362</v>
      </c>
      <c r="B15" s="4"/>
      <c r="C15" s="4"/>
      <c r="D15" s="4"/>
      <c r="E15" s="4"/>
      <c r="F15" s="4"/>
      <c r="G15" s="4"/>
      <c r="H15" s="4"/>
    </row>
    <row r="16" customFormat="false" ht="31.5" hidden="false" customHeight="true" outlineLevel="0" collapsed="false">
      <c r="A16" s="31" t="s">
        <v>361</v>
      </c>
      <c r="B16" s="86" t="n">
        <v>1500</v>
      </c>
      <c r="C16" s="86" t="n">
        <v>2000</v>
      </c>
      <c r="D16" s="86" t="n">
        <v>2500</v>
      </c>
      <c r="E16" s="86" t="n">
        <v>3000</v>
      </c>
      <c r="F16" s="86" t="n">
        <v>3500</v>
      </c>
      <c r="G16" s="86" t="n">
        <v>4000</v>
      </c>
      <c r="H16" s="86" t="n">
        <v>4500</v>
      </c>
    </row>
    <row r="17" customFormat="false" ht="15" hidden="false" customHeight="false" outlineLevel="0" collapsed="false">
      <c r="A17" s="87" t="n">
        <v>0.3</v>
      </c>
      <c r="B17" s="34" t="n">
        <f aca="false">IF(B6&gt;=0,B6*Вводные!$B$35,IF(Вводные!$B$37="Да",B6*Вводные!$B$35,B6))-MAX(0,IF(B6&gt;=0,B6*Вводные!$B$35,IF(Вводные!$B$37="Да",B6*Вводные!$B$35,B6)))*Вводные!$B$32+IF(Вводные!$B$38="Да",0,Билеты!$E$32)*(1-Вводные!$B$32)</f>
        <v>-193044.95049505</v>
      </c>
      <c r="C17" s="34" t="n">
        <f aca="false">IF(C6&gt;=0,C6*Вводные!$B$35,IF(Вводные!$B$37="Да",C6*Вводные!$B$35,C6))-MAX(0,IF(C6&gt;=0,C6*Вводные!$B$35,IF(Вводные!$B$37="Да",C6*Вводные!$B$35,C6)))*Вводные!$B$32+IF(Вводные!$B$38="Да",0,Билеты!$E$32)*(1-Вводные!$B$32)</f>
        <v>-158613.267326733</v>
      </c>
      <c r="D17" s="34" t="n">
        <f aca="false">IF(D6&gt;=0,D6*Вводные!$B$35,IF(Вводные!$B$37="Да",D6*Вводные!$B$35,D6))-MAX(0,IF(D6&gt;=0,D6*Вводные!$B$35,IF(Вводные!$B$37="Да",D6*Вводные!$B$35,D6)))*Вводные!$B$32+IF(Вводные!$B$38="Да",0,Билеты!$E$32)*(1-Вводные!$B$32)</f>
        <v>-124181.584158416</v>
      </c>
      <c r="E17" s="34" t="n">
        <f aca="false">IF(E6&gt;=0,E6*Вводные!$B$35,IF(Вводные!$B$37="Да",E6*Вводные!$B$35,E6))-MAX(0,IF(E6&gt;=0,E6*Вводные!$B$35,IF(Вводные!$B$37="Да",E6*Вводные!$B$35,E6)))*Вводные!$B$32+IF(Вводные!$B$38="Да",0,Билеты!$E$32)*(1-Вводные!$B$32)</f>
        <v>-89749.900990099</v>
      </c>
      <c r="F17" s="34" t="n">
        <f aca="false">IF(F6&gt;=0,F6*Вводные!$B$35,IF(Вводные!$B$37="Да",F6*Вводные!$B$35,F6))-MAX(0,IF(F6&gt;=0,F6*Вводные!$B$35,IF(Вводные!$B$37="Да",F6*Вводные!$B$35,F6)))*Вводные!$B$32+IF(Вводные!$B$38="Да",0,Билеты!$E$32)*(1-Вводные!$B$32)</f>
        <v>-55318.2178217822</v>
      </c>
      <c r="G17" s="34" t="n">
        <f aca="false">IF(G6&gt;=0,G6*Вводные!$B$35,IF(Вводные!$B$37="Да",G6*Вводные!$B$35,G6))-MAX(0,IF(G6&gt;=0,G6*Вводные!$B$35,IF(Вводные!$B$37="Да",G6*Вводные!$B$35,G6)))*Вводные!$B$32+IF(Вводные!$B$38="Да",0,Билеты!$E$32)*(1-Вводные!$B$32)</f>
        <v>-20886.5346534654</v>
      </c>
      <c r="H17" s="34" t="n">
        <f aca="false">IF(H6&gt;=0,H6*Вводные!$B$35,IF(Вводные!$B$37="Да",H6*Вводные!$B$35,H6))-MAX(0,IF(H6&gt;=0,H6*Вводные!$B$35,IF(Вводные!$B$37="Да",H6*Вводные!$B$35,H6)))*Вводные!$B$32+IF(Вводные!$B$38="Да",0,Билеты!$E$32)*(1-Вводные!$B$32)</f>
        <v>13545.1485148515</v>
      </c>
    </row>
    <row r="18" customFormat="false" ht="15" hidden="false" customHeight="false" outlineLevel="0" collapsed="false">
      <c r="A18" s="87" t="n">
        <v>0.4</v>
      </c>
      <c r="B18" s="34" t="n">
        <f aca="false">IF(B7&gt;=0,B7*Вводные!$B$35,IF(Вводные!$B$37="Да",B7*Вводные!$B$35,B7))-MAX(0,IF(B7&gt;=0,B7*Вводные!$B$35,IF(Вводные!$B$37="Да",B7*Вводные!$B$35,B7)))*Вводные!$B$32+IF(Вводные!$B$38="Да",0,Билеты!$E$32)*(1-Вводные!$B$32)</f>
        <v>-160413.267326733</v>
      </c>
      <c r="C18" s="34" t="n">
        <f aca="false">IF(C7&gt;=0,C7*Вводные!$B$35,IF(Вводные!$B$37="Да",C7*Вводные!$B$35,C7))-MAX(0,IF(C7&gt;=0,C7*Вводные!$B$35,IF(Вводные!$B$37="Да",C7*Вводные!$B$35,C7)))*Вводные!$B$32+IF(Вводные!$B$38="Да",0,Билеты!$E$32)*(1-Вводные!$B$32)</f>
        <v>-114504.356435644</v>
      </c>
      <c r="D18" s="34" t="n">
        <f aca="false">IF(D7&gt;=0,D7*Вводные!$B$35,IF(Вводные!$B$37="Да",D7*Вводные!$B$35,D7))-MAX(0,IF(D7&gt;=0,D7*Вводные!$B$35,IF(Вводные!$B$37="Да",D7*Вводные!$B$35,D7)))*Вводные!$B$32+IF(Вводные!$B$38="Да",0,Билеты!$E$32)*(1-Вводные!$B$32)</f>
        <v>-68595.4455445544</v>
      </c>
      <c r="E18" s="34" t="n">
        <f aca="false">IF(E7&gt;=0,E7*Вводные!$B$35,IF(Вводные!$B$37="Да",E7*Вводные!$B$35,E7))-MAX(0,IF(E7&gt;=0,E7*Вводные!$B$35,IF(Вводные!$B$37="Да",E7*Вводные!$B$35,E7)))*Вводные!$B$32+IF(Вводные!$B$38="Да",0,Билеты!$E$32)*(1-Вводные!$B$32)</f>
        <v>-22686.5346534654</v>
      </c>
      <c r="F18" s="34" t="n">
        <f aca="false">IF(F7&gt;=0,F7*Вводные!$B$35,IF(Вводные!$B$37="Да",F7*Вводные!$B$35,F7))-MAX(0,IF(F7&gt;=0,F7*Вводные!$B$35,IF(Вводные!$B$37="Да",F7*Вводные!$B$35,F7)))*Вводные!$B$32+IF(Вводные!$B$38="Да",0,Билеты!$E$32)*(1-Вводные!$B$32)</f>
        <v>23222.3762376237</v>
      </c>
      <c r="G18" s="34" t="n">
        <f aca="false">IF(G7&gt;=0,G7*Вводные!$B$35,IF(Вводные!$B$37="Да",G7*Вводные!$B$35,G7))-MAX(0,IF(G7&gt;=0,G7*Вводные!$B$35,IF(Вводные!$B$37="Да",G7*Вводные!$B$35,G7)))*Вводные!$B$32+IF(Вводные!$B$38="Да",0,Билеты!$E$32)*(1-Вводные!$B$32)</f>
        <v>60614.7920792079</v>
      </c>
      <c r="H18" s="34" t="n">
        <f aca="false">IF(H7&gt;=0,H7*Вводные!$B$35,IF(Вводные!$B$37="Да",H7*Вводные!$B$35,H7))-MAX(0,IF(H7&gt;=0,H7*Вводные!$B$35,IF(Вводные!$B$37="Да",H7*Вводные!$B$35,H7)))*Вводные!$B$32+IF(Вводные!$B$38="Да",0,Билеты!$E$32)*(1-Вводные!$B$32)</f>
        <v>81732.8910891089</v>
      </c>
    </row>
    <row r="19" customFormat="false" ht="15" hidden="false" customHeight="false" outlineLevel="0" collapsed="false">
      <c r="A19" s="87" t="n">
        <v>0.5</v>
      </c>
      <c r="B19" s="34" t="n">
        <f aca="false">IF(B8&gt;=0,B8*Вводные!$B$35,IF(Вводные!$B$37="Да",B8*Вводные!$B$35,B8))-MAX(0,IF(B8&gt;=0,B8*Вводные!$B$35,IF(Вводные!$B$37="Да",B8*Вводные!$B$35,B8)))*Вводные!$B$32+IF(Вводные!$B$38="Да",0,Билеты!$E$32)*(1-Вводные!$B$32)</f>
        <v>-127781.584158416</v>
      </c>
      <c r="C19" s="34" t="n">
        <f aca="false">IF(C8&gt;=0,C8*Вводные!$B$35,IF(Вводные!$B$37="Да",C8*Вводные!$B$35,C8))-MAX(0,IF(C8&gt;=0,C8*Вводные!$B$35,IF(Вводные!$B$37="Да",C8*Вводные!$B$35,C8)))*Вводные!$B$32+IF(Вводные!$B$38="Да",0,Билеты!$E$32)*(1-Вводные!$B$32)</f>
        <v>-70395.4455445544</v>
      </c>
      <c r="D19" s="34" t="n">
        <f aca="false">IF(D8&gt;=0,D8*Вводные!$B$35,IF(Вводные!$B$37="Да",D8*Вводные!$B$35,D8))-MAX(0,IF(D8&gt;=0,D8*Вводные!$B$35,IF(Вводные!$B$37="Да",D8*Вводные!$B$35,D8)))*Вводные!$B$32+IF(Вводные!$B$38="Да",0,Билеты!$E$32)*(1-Вводные!$B$32)</f>
        <v>-13009.3069306932</v>
      </c>
      <c r="E19" s="34" t="n">
        <f aca="false">IF(E8&gt;=0,E8*Вводные!$B$35,IF(Вводные!$B$37="Да",E8*Вводные!$B$35,E8))-MAX(0,IF(E8&gt;=0,E8*Вводные!$B$35,IF(Вводные!$B$37="Да",E8*Вводные!$B$35,E8)))*Вводные!$B$32+IF(Вводные!$B$38="Да",0,Билеты!$E$32)*(1-Вводные!$B$32)</f>
        <v>44376.8316831682</v>
      </c>
      <c r="F19" s="34" t="n">
        <f aca="false">IF(F8&gt;=0,F8*Вводные!$B$35,IF(Вводные!$B$37="Да",F8*Вводные!$B$35,F8))-MAX(0,IF(F8&gt;=0,F8*Вводные!$B$35,IF(Вводные!$B$37="Да",F8*Вводные!$B$35,F8)))*Вводные!$B$32+IF(Вводные!$B$38="Да",0,Билеты!$E$32)*(1-Вводные!$B$32)</f>
        <v>75625.3663366336</v>
      </c>
      <c r="G19" s="34" t="n">
        <f aca="false">IF(G8&gt;=0,G8*Вводные!$B$35,IF(Вводные!$B$37="Да",G8*Вводные!$B$35,G8))-MAX(0,IF(G8&gt;=0,G8*Вводные!$B$35,IF(Вводные!$B$37="Да",G8*Вводные!$B$35,G8)))*Вводные!$B$32+IF(Вводные!$B$38="Да",0,Билеты!$E$32)*(1-Вводные!$B$32)</f>
        <v>102022.99009901</v>
      </c>
      <c r="H19" s="34" t="n">
        <f aca="false">IF(H8&gt;=0,H8*Вводные!$B$35,IF(Вводные!$B$37="Да",H8*Вводные!$B$35,H8))-MAX(0,IF(H8&gt;=0,H8*Вводные!$B$35,IF(Вводные!$B$37="Да",H8*Вводные!$B$35,H8)))*Вводные!$B$32+IF(Вводные!$B$38="Да",0,Билеты!$E$32)*(1-Вводные!$B$32)</f>
        <v>128420.613861386</v>
      </c>
    </row>
    <row r="20" customFormat="false" ht="15" hidden="false" customHeight="false" outlineLevel="0" collapsed="false">
      <c r="A20" s="87" t="n">
        <v>0.6</v>
      </c>
      <c r="B20" s="34" t="n">
        <f aca="false">IF(B9&gt;=0,B9*Вводные!$B$35,IF(Вводные!$B$37="Да",B9*Вводные!$B$35,B9))-MAX(0,IF(B9&gt;=0,B9*Вводные!$B$35,IF(Вводные!$B$37="Да",B9*Вводные!$B$35,B9)))*Вводные!$B$32+IF(Вводные!$B$38="Да",0,Билеты!$E$32)*(1-Вводные!$B$32)</f>
        <v>-95149.900990099</v>
      </c>
      <c r="C20" s="34" t="n">
        <f aca="false">IF(C9&gt;=0,C9*Вводные!$B$35,IF(Вводные!$B$37="Да",C9*Вводные!$B$35,C9))-MAX(0,IF(C9&gt;=0,C9*Вводные!$B$35,IF(Вводные!$B$37="Да",C9*Вводные!$B$35,C9)))*Вводные!$B$32+IF(Вводные!$B$38="Да",0,Билеты!$E$32)*(1-Вводные!$B$32)</f>
        <v>-26286.5346534654</v>
      </c>
      <c r="D20" s="34" t="n">
        <f aca="false">IF(D9&gt;=0,D9*Вводные!$B$35,IF(Вводные!$B$37="Да",D9*Вводные!$B$35,D9))-MAX(0,IF(D9&gt;=0,D9*Вводные!$B$35,IF(Вводные!$B$37="Да",D9*Вводные!$B$35,D9)))*Вводные!$B$32+IF(Вводные!$B$38="Да",0,Билеты!$E$32)*(1-Вводные!$B$32)</f>
        <v>42576.8316831682</v>
      </c>
      <c r="E20" s="34" t="n">
        <f aca="false">IF(E9&gt;=0,E9*Вводные!$B$35,IF(Вводные!$B$37="Да",E9*Вводные!$B$35,E9))-MAX(0,IF(E9&gt;=0,E9*Вводные!$B$35,IF(Вводные!$B$37="Да",E9*Вводные!$B$35,E9)))*Вводные!$B$32+IF(Вводные!$B$38="Да",0,Билеты!$E$32)*(1-Вводные!$B$32)</f>
        <v>80076.8910891089</v>
      </c>
      <c r="F20" s="34" t="n">
        <f aca="false">IF(F9&gt;=0,F9*Вводные!$B$35,IF(Вводные!$B$37="Да",F9*Вводные!$B$35,F9))-MAX(0,IF(F9&gt;=0,F9*Вводные!$B$35,IF(Вводные!$B$37="Да",F9*Вводные!$B$35,F9)))*Вводные!$B$32+IF(Вводные!$B$38="Да",0,Билеты!$E$32)*(1-Вводные!$B$32)</f>
        <v>111754.03960396</v>
      </c>
      <c r="G20" s="34" t="n">
        <f aca="false">IF(G9&gt;=0,G9*Вводные!$B$35,IF(Вводные!$B$37="Да",G9*Вводные!$B$35,G9))-MAX(0,IF(G9&gt;=0,G9*Вводные!$B$35,IF(Вводные!$B$37="Да",G9*Вводные!$B$35,G9)))*Вводные!$B$32+IF(Вводные!$B$38="Да",0,Билеты!$E$32)*(1-Вводные!$B$32)</f>
        <v>143431.188118812</v>
      </c>
      <c r="H20" s="34" t="n">
        <f aca="false">IF(H9&gt;=0,H9*Вводные!$B$35,IF(Вводные!$B$37="Да",H9*Вводные!$B$35,H9))-MAX(0,IF(H9&gt;=0,H9*Вводные!$B$35,IF(Вводные!$B$37="Да",H9*Вводные!$B$35,H9)))*Вводные!$B$32+IF(Вводные!$B$38="Да",0,Билеты!$E$32)*(1-Вводные!$B$32)</f>
        <v>175108.336633663</v>
      </c>
    </row>
    <row r="21" customFormat="false" ht="15" hidden="false" customHeight="false" outlineLevel="0" collapsed="false">
      <c r="A21" s="87" t="n">
        <v>0.7</v>
      </c>
      <c r="B21" s="34" t="n">
        <f aca="false">IF(B10&gt;=0,B10*Вводные!$B$35,IF(Вводные!$B$37="Да",B10*Вводные!$B$35,B10))-MAX(0,IF(B10&gt;=0,B10*Вводные!$B$35,IF(Вводные!$B$37="Да",B10*Вводные!$B$35,B10)))*Вводные!$B$32+IF(Вводные!$B$38="Да",0,Билеты!$E$32)*(1-Вводные!$B$32)</f>
        <v>-62518.2178217822</v>
      </c>
      <c r="C21" s="34" t="n">
        <f aca="false">IF(C10&gt;=0,C10*Вводные!$B$35,IF(Вводные!$B$37="Да",C10*Вводные!$B$35,C10))-MAX(0,IF(C10&gt;=0,C10*Вводные!$B$35,IF(Вводные!$B$37="Да",C10*Вводные!$B$35,C10)))*Вводные!$B$32+IF(Вводные!$B$38="Да",0,Билеты!$E$32)*(1-Вводные!$B$32)</f>
        <v>17822.3762376237</v>
      </c>
      <c r="D21" s="34" t="n">
        <f aca="false">IF(D10&gt;=0,D10*Вводные!$B$35,IF(Вводные!$B$37="Да",D10*Вводные!$B$35,D10))-MAX(0,IF(D10&gt;=0,D10*Вводные!$B$35,IF(Вводные!$B$37="Да",D10*Вводные!$B$35,D10)))*Вводные!$B$32+IF(Вводные!$B$38="Да",0,Билеты!$E$32)*(1-Вводные!$B$32)</f>
        <v>73969.3663366336</v>
      </c>
      <c r="E21" s="34" t="n">
        <f aca="false">IF(E10&gt;=0,E10*Вводные!$B$35,IF(Вводные!$B$37="Да",E10*Вводные!$B$35,E10))-MAX(0,IF(E10&gt;=0,E10*Вводные!$B$35,IF(Вводные!$B$37="Да",E10*Вводные!$B$35,E10)))*Вводные!$B$32+IF(Вводные!$B$38="Да",0,Билеты!$E$32)*(1-Вводные!$B$32)</f>
        <v>110926.03960396</v>
      </c>
      <c r="F21" s="34" t="n">
        <f aca="false">IF(F10&gt;=0,F10*Вводные!$B$35,IF(Вводные!$B$37="Да",F10*Вводные!$B$35,F10))-MAX(0,IF(F10&gt;=0,F10*Вводные!$B$35,IF(Вводные!$B$37="Да",F10*Вводные!$B$35,F10)))*Вводные!$B$32+IF(Вводные!$B$38="Да",0,Билеты!$E$32)*(1-Вводные!$B$32)</f>
        <v>147882.712871287</v>
      </c>
      <c r="G21" s="34" t="n">
        <f aca="false">IF(G10&gt;=0,G10*Вводные!$B$35,IF(Вводные!$B$37="Да",G10*Вводные!$B$35,G10))-MAX(0,IF(G10&gt;=0,G10*Вводные!$B$35,IF(Вводные!$B$37="Да",G10*Вводные!$B$35,G10)))*Вводные!$B$32+IF(Вводные!$B$38="Да",0,Билеты!$E$32)*(1-Вводные!$B$32)</f>
        <v>184839.386138614</v>
      </c>
      <c r="H21" s="34" t="n">
        <f aca="false">IF(H10&gt;=0,H10*Вводные!$B$35,IF(Вводные!$B$37="Да",H10*Вводные!$B$35,H10))-MAX(0,IF(H10&gt;=0,H10*Вводные!$B$35,IF(Вводные!$B$37="Да",H10*Вводные!$B$35,H10)))*Вводные!$B$32+IF(Вводные!$B$38="Да",0,Билеты!$E$32)*(1-Вводные!$B$32)</f>
        <v>221796.059405941</v>
      </c>
    </row>
    <row r="22" customFormat="false" ht="15" hidden="false" customHeight="false" outlineLevel="0" collapsed="false">
      <c r="A22" s="87" t="n">
        <v>0.8</v>
      </c>
      <c r="B22" s="34" t="n">
        <f aca="false">IF(B11&gt;=0,B11*Вводные!$B$35,IF(Вводные!$B$37="Да",B11*Вводные!$B$35,B11))-MAX(0,IF(B11&gt;=0,B11*Вводные!$B$35,IF(Вводные!$B$37="Да",B11*Вводные!$B$35,B11)))*Вводные!$B$32+IF(Вводные!$B$38="Да",0,Билеты!$E$32)*(1-Вводные!$B$32)</f>
        <v>-29886.5346534654</v>
      </c>
      <c r="C22" s="34" t="n">
        <f aca="false">IF(C11&gt;=0,C11*Вводные!$B$35,IF(Вводные!$B$37="Да",C11*Вводные!$B$35,C11))-MAX(0,IF(C11&gt;=0,C11*Вводные!$B$35,IF(Вводные!$B$37="Да",C11*Вводные!$B$35,C11)))*Вводные!$B$32+IF(Вводные!$B$38="Да",0,Билеты!$E$32)*(1-Вводные!$B$32)</f>
        <v>57302.7920792079</v>
      </c>
      <c r="D22" s="34" t="n">
        <f aca="false">IF(D11&gt;=0,D11*Вводные!$B$35,IF(Вводные!$B$37="Да",D11*Вводные!$B$35,D11))-MAX(0,IF(D11&gt;=0,D11*Вводные!$B$35,IF(Вводные!$B$37="Да",D11*Вводные!$B$35,D11)))*Вводные!$B$32+IF(Вводные!$B$38="Да",0,Билеты!$E$32)*(1-Вводные!$B$32)</f>
        <v>99538.9900990099</v>
      </c>
      <c r="E22" s="34" t="n">
        <f aca="false">IF(E11&gt;=0,E11*Вводные!$B$35,IF(Вводные!$B$37="Да",E11*Вводные!$B$35,E11))-MAX(0,IF(E11&gt;=0,E11*Вводные!$B$35,IF(Вводные!$B$37="Да",E11*Вводные!$B$35,E11)))*Вводные!$B$32+IF(Вводные!$B$38="Да",0,Билеты!$E$32)*(1-Вводные!$B$32)</f>
        <v>141775.188118812</v>
      </c>
      <c r="F22" s="34" t="n">
        <f aca="false">IF(F11&gt;=0,F11*Вводные!$B$35,IF(Вводные!$B$37="Да",F11*Вводные!$B$35,F11))-MAX(0,IF(F11&gt;=0,F11*Вводные!$B$35,IF(Вводные!$B$37="Да",F11*Вводные!$B$35,F11)))*Вводные!$B$32+IF(Вводные!$B$38="Да",0,Билеты!$E$32)*(1-Вводные!$B$32)</f>
        <v>184011.386138614</v>
      </c>
      <c r="G22" s="34" t="n">
        <f aca="false">IF(G11&gt;=0,G11*Вводные!$B$35,IF(Вводные!$B$37="Да",G11*Вводные!$B$35,G11))-MAX(0,IF(G11&gt;=0,G11*Вводные!$B$35,IF(Вводные!$B$37="Да",G11*Вводные!$B$35,G11)))*Вводные!$B$32+IF(Вводные!$B$38="Да",0,Билеты!$E$32)*(1-Вводные!$B$32)</f>
        <v>226247.584158416</v>
      </c>
      <c r="H22" s="34" t="n">
        <f aca="false">IF(H11&gt;=0,H11*Вводные!$B$35,IF(Вводные!$B$37="Да",H11*Вводные!$B$35,H11))-MAX(0,IF(H11&gt;=0,H11*Вводные!$B$35,IF(Вводные!$B$37="Да",H11*Вводные!$B$35,H11)))*Вводные!$B$32+IF(Вводные!$B$38="Да",0,Билеты!$E$32)*(1-Вводные!$B$32)</f>
        <v>268483.782178218</v>
      </c>
    </row>
    <row r="23" customFormat="false" ht="15" hidden="false" customHeight="false" outlineLevel="0" collapsed="false">
      <c r="A23" s="87" t="n">
        <v>0.9</v>
      </c>
      <c r="B23" s="34" t="n">
        <f aca="false">IF(B12&gt;=0,B12*Вводные!$B$35,IF(Вводные!$B$37="Да",B12*Вводные!$B$35,B12))-MAX(0,IF(B12&gt;=0,B12*Вводные!$B$35,IF(Вводные!$B$37="Да",B12*Вводные!$B$35,B12)))*Вводные!$B$32+IF(Вводные!$B$38="Да",0,Билеты!$E$32)*(1-Вводные!$B$32)</f>
        <v>2745.14851485152</v>
      </c>
      <c r="C23" s="34" t="n">
        <f aca="false">IF(C12&gt;=0,C12*Вводные!$B$35,IF(Вводные!$B$37="Да",C12*Вводные!$B$35,C12))-MAX(0,IF(C12&gt;=0,C12*Вводные!$B$35,IF(Вводные!$B$37="Да",C12*Вводные!$B$35,C12)))*Вводные!$B$32+IF(Вводные!$B$38="Да",0,Билеты!$E$32)*(1-Вводные!$B$32)</f>
        <v>77592.8910891089</v>
      </c>
      <c r="D23" s="34" t="n">
        <f aca="false">IF(D12&gt;=0,D12*Вводные!$B$35,IF(Вводные!$B$37="Да",D12*Вводные!$B$35,D12))-MAX(0,IF(D12&gt;=0,D12*Вводные!$B$35,IF(Вводные!$B$37="Да",D12*Вводные!$B$35,D12)))*Вводные!$B$32+IF(Вводные!$B$38="Да",0,Билеты!$E$32)*(1-Вводные!$B$32)</f>
        <v>125108.613861386</v>
      </c>
      <c r="E23" s="34" t="n">
        <f aca="false">IF(E12&gt;=0,E12*Вводные!$B$35,IF(Вводные!$B$37="Да",E12*Вводные!$B$35,E12))-MAX(0,IF(E12&gt;=0,E12*Вводные!$B$35,IF(Вводные!$B$37="Да",E12*Вводные!$B$35,E12)))*Вводные!$B$32+IF(Вводные!$B$38="Да",0,Билеты!$E$32)*(1-Вводные!$B$32)</f>
        <v>172624.336633663</v>
      </c>
      <c r="F23" s="34" t="n">
        <f aca="false">IF(F12&gt;=0,F12*Вводные!$B$35,IF(Вводные!$B$37="Да",F12*Вводные!$B$35,F12))-MAX(0,IF(F12&gt;=0,F12*Вводные!$B$35,IF(Вводные!$B$37="Да",F12*Вводные!$B$35,F12)))*Вводные!$B$32+IF(Вводные!$B$38="Да",0,Билеты!$E$32)*(1-Вводные!$B$32)</f>
        <v>220140.059405941</v>
      </c>
      <c r="G23" s="34" t="n">
        <f aca="false">IF(G12&gt;=0,G12*Вводные!$B$35,IF(Вводные!$B$37="Да",G12*Вводные!$B$35,G12))-MAX(0,IF(G12&gt;=0,G12*Вводные!$B$35,IF(Вводные!$B$37="Да",G12*Вводные!$B$35,G12)))*Вводные!$B$32+IF(Вводные!$B$38="Да",0,Билеты!$E$32)*(1-Вводные!$B$32)</f>
        <v>267655.782178218</v>
      </c>
      <c r="H23" s="34" t="n">
        <f aca="false">IF(H12&gt;=0,H12*Вводные!$B$35,IF(Вводные!$B$37="Да",H12*Вводные!$B$35,H12))-MAX(0,IF(H12&gt;=0,H12*Вводные!$B$35,IF(Вводные!$B$37="Да",H12*Вводные!$B$35,H12)))*Вводные!$B$32+IF(Вводные!$B$38="Да",0,Билеты!$E$32)*(1-Вводные!$B$32)</f>
        <v>315171.504950495</v>
      </c>
    </row>
    <row r="24" customFormat="false" ht="15" hidden="false" customHeight="false" outlineLevel="0" collapsed="false">
      <c r="A24" s="87" t="n">
        <v>1</v>
      </c>
      <c r="B24" s="34" t="n">
        <f aca="false">IF(B13&gt;=0,B13*Вводные!$B$35,IF(Вводные!$B$37="Да",B13*Вводные!$B$35,B13))-MAX(0,IF(B13&gt;=0,B13*Вводные!$B$35,IF(Вводные!$B$37="Да",B13*Вводные!$B$35,B13)))*Вводные!$B$32+IF(Вводные!$B$38="Да",0,Билеты!$E$32)*(1-Вводные!$B$32)</f>
        <v>35376.8316831682</v>
      </c>
      <c r="C24" s="34" t="n">
        <f aca="false">IF(C13&gt;=0,C13*Вводные!$B$35,IF(Вводные!$B$37="Да",C13*Вводные!$B$35,C13))-MAX(0,IF(C13&gt;=0,C13*Вводные!$B$35,IF(Вводные!$B$37="Да",C13*Вводные!$B$35,C13)))*Вводные!$B$32+IF(Вводные!$B$38="Да",0,Билеты!$E$32)*(1-Вводные!$B$32)</f>
        <v>97882.9900990099</v>
      </c>
      <c r="D24" s="34" t="n">
        <f aca="false">IF(D13&gt;=0,D13*Вводные!$B$35,IF(Вводные!$B$37="Да",D13*Вводные!$B$35,D13))-MAX(0,IF(D13&gt;=0,D13*Вводные!$B$35,IF(Вводные!$B$37="Да",D13*Вводные!$B$35,D13)))*Вводные!$B$32+IF(Вводные!$B$38="Да",0,Билеты!$E$32)*(1-Вводные!$B$32)</f>
        <v>150678.237623762</v>
      </c>
      <c r="E24" s="34" t="n">
        <f aca="false">IF(E13&gt;=0,E13*Вводные!$B$35,IF(Вводные!$B$37="Да",E13*Вводные!$B$35,E13))-MAX(0,IF(E13&gt;=0,E13*Вводные!$B$35,IF(Вводные!$B$37="Да",E13*Вводные!$B$35,E13)))*Вводные!$B$32+IF(Вводные!$B$38="Да",0,Билеты!$E$32)*(1-Вводные!$B$32)</f>
        <v>203473.485148515</v>
      </c>
      <c r="F24" s="34" t="n">
        <f aca="false">IF(F13&gt;=0,F13*Вводные!$B$35,IF(Вводные!$B$37="Да",F13*Вводные!$B$35,F13))-MAX(0,IF(F13&gt;=0,F13*Вводные!$B$35,IF(Вводные!$B$37="Да",F13*Вводные!$B$35,F13)))*Вводные!$B$32+IF(Вводные!$B$38="Да",0,Билеты!$E$32)*(1-Вводные!$B$32)</f>
        <v>256268.732673267</v>
      </c>
      <c r="G24" s="34" t="n">
        <f aca="false">IF(G13&gt;=0,G13*Вводные!$B$35,IF(Вводные!$B$37="Да",G13*Вводные!$B$35,G13))-MAX(0,IF(G13&gt;=0,G13*Вводные!$B$35,IF(Вводные!$B$37="Да",G13*Вводные!$B$35,G13)))*Вводные!$B$32+IF(Вводные!$B$38="Да",0,Билеты!$E$32)*(1-Вводные!$B$32)</f>
        <v>309063.98019802</v>
      </c>
      <c r="H24" s="34" t="n">
        <f aca="false">IF(H13&gt;=0,H13*Вводные!$B$35,IF(Вводные!$B$37="Да",H13*Вводные!$B$35,H13))-MAX(0,IF(H13&gt;=0,H13*Вводные!$B$35,IF(Вводные!$B$37="Да",H13*Вводные!$B$35,H13)))*Вводные!$B$32+IF(Вводные!$B$38="Да",0,Билеты!$E$32)*(1-Вводные!$B$32)</f>
        <v>361859.227722772</v>
      </c>
    </row>
    <row r="25" customFormat="false" ht="15" hidden="false" customHeight="false" outlineLevel="0" collapsed="false">
      <c r="A25" s="4"/>
      <c r="B25" s="4"/>
      <c r="C25" s="4"/>
      <c r="D25" s="4"/>
      <c r="E25" s="4"/>
      <c r="F25" s="4"/>
      <c r="G25" s="4"/>
      <c r="H25" s="4"/>
    </row>
    <row r="26" customFormat="false" ht="15" hidden="false" customHeight="false" outlineLevel="0" collapsed="false">
      <c r="A26" s="4"/>
      <c r="B26" s="4"/>
      <c r="C26" s="4"/>
      <c r="D26" s="4"/>
      <c r="E26" s="4"/>
      <c r="F26" s="4"/>
      <c r="G26" s="4"/>
      <c r="H26" s="4"/>
    </row>
    <row r="27" customFormat="false" ht="15" hidden="false" customHeight="false" outlineLevel="0" collapsed="false">
      <c r="A27" s="85" t="s">
        <v>363</v>
      </c>
      <c r="B27" s="4"/>
      <c r="C27" s="4"/>
      <c r="D27" s="4"/>
      <c r="E27" s="4"/>
      <c r="F27" s="4"/>
      <c r="G27" s="4"/>
      <c r="H27" s="4"/>
    </row>
    <row r="28" customFormat="false" ht="15" hidden="false" customHeight="false" outlineLevel="0" collapsed="false">
      <c r="A28" s="88" t="s">
        <v>364</v>
      </c>
      <c r="B28" s="86" t="n">
        <v>1500</v>
      </c>
      <c r="C28" s="86" t="n">
        <v>2000</v>
      </c>
      <c r="D28" s="86" t="n">
        <v>2500</v>
      </c>
      <c r="E28" s="86" t="n">
        <v>3000</v>
      </c>
      <c r="F28" s="86" t="n">
        <v>3500</v>
      </c>
      <c r="G28" s="86" t="n">
        <v>4000</v>
      </c>
      <c r="H28" s="86" t="n">
        <v>4500</v>
      </c>
    </row>
    <row r="29" customFormat="false" ht="15" hidden="false" customHeight="false" outlineLevel="0" collapsed="false">
      <c r="A29" s="7" t="s">
        <v>365</v>
      </c>
      <c r="B29" s="89" t="n">
        <f aca="false">IF((B$28*(1-IF(Вводные!$B$18=2,Вводные!$B$19*(1-Вводные!$B$20),0)-Вводные!$B$26-Вводные!$B$25)-IFERROR(Вводные!$B$41/Билеты!$B$23,Вводные!$B$41))&lt;=0,"н/д",ROUNDUP(Расходы!$E$58/(B$28*(1-IF(Вводные!$B$18=2,Вводные!$B$19*(1-Вводные!$B$20),0)-Вводные!$B$26-Вводные!$B$25)-IFERROR(Вводные!$B$41/Билеты!$B$23,Вводные!$B$41)),0))</f>
        <v>301</v>
      </c>
      <c r="C29" s="89" t="n">
        <f aca="false">IF((C$28*(1-IF(Вводные!$B$18=2,Вводные!$B$19*(1-Вводные!$B$20),0)-Вводные!$B$26-Вводные!$B$25)-IFERROR(Вводные!$B$41/Билеты!$B$23,Вводные!$B$41))&lt;=0,"н/д",ROUNDUP(Расходы!$E$58/(C$28*(1-IF(Вводные!$B$18=2,Вводные!$B$19*(1-Вводные!$B$20),0)-Вводные!$B$26-Вводные!$B$25)-IFERROR(Вводные!$B$41/Билеты!$B$23,Вводные!$B$41)),0))</f>
        <v>223</v>
      </c>
      <c r="D29" s="89" t="n">
        <f aca="false">IF((D$28*(1-IF(Вводные!$B$18=2,Вводные!$B$19*(1-Вводные!$B$20),0)-Вводные!$B$26-Вводные!$B$25)-IFERROR(Вводные!$B$41/Билеты!$B$23,Вводные!$B$41))&lt;=0,"н/д",ROUNDUP(Расходы!$E$58/(D$28*(1-IF(Вводные!$B$18=2,Вводные!$B$19*(1-Вводные!$B$20),0)-Вводные!$B$26-Вводные!$B$25)-IFERROR(Вводные!$B$41/Билеты!$B$23,Вводные!$B$41)),0))</f>
        <v>177</v>
      </c>
      <c r="E29" s="89" t="n">
        <f aca="false">IF((E$28*(1-IF(Вводные!$B$18=2,Вводные!$B$19*(1-Вводные!$B$20),0)-Вводные!$B$26-Вводные!$B$25)-IFERROR(Вводные!$B$41/Билеты!$B$23,Вводные!$B$41))&lt;=0,"н/д",ROUNDUP(Расходы!$E$58/(E$28*(1-IF(Вводные!$B$18=2,Вводные!$B$19*(1-Вводные!$B$20),0)-Вводные!$B$26-Вводные!$B$25)-IFERROR(Вводные!$B$41/Билеты!$B$23,Вводные!$B$41)),0))</f>
        <v>147</v>
      </c>
      <c r="F29" s="89" t="n">
        <f aca="false">IF((F$28*(1-IF(Вводные!$B$18=2,Вводные!$B$19*(1-Вводные!$B$20),0)-Вводные!$B$26-Вводные!$B$25)-IFERROR(Вводные!$B$41/Билеты!$B$23,Вводные!$B$41))&lt;=0,"н/д",ROUNDUP(Расходы!$E$58/(F$28*(1-IF(Вводные!$B$18=2,Вводные!$B$19*(1-Вводные!$B$20),0)-Вводные!$B$26-Вводные!$B$25)-IFERROR(Вводные!$B$41/Билеты!$B$23,Вводные!$B$41)),0))</f>
        <v>126</v>
      </c>
      <c r="G29" s="89" t="n">
        <f aca="false">IF((G$28*(1-IF(Вводные!$B$18=2,Вводные!$B$19*(1-Вводные!$B$20),0)-Вводные!$B$26-Вводные!$B$25)-IFERROR(Вводные!$B$41/Билеты!$B$23,Вводные!$B$41))&lt;=0,"н/д",ROUNDUP(Расходы!$E$58/(G$28*(1-IF(Вводные!$B$18=2,Вводные!$B$19*(1-Вводные!$B$20),0)-Вводные!$B$26-Вводные!$B$25)-IFERROR(Вводные!$B$41/Билеты!$B$23,Вводные!$B$41)),0))</f>
        <v>110</v>
      </c>
      <c r="H29" s="89" t="n">
        <f aca="false">IF((H$28*(1-IF(Вводные!$B$18=2,Вводные!$B$19*(1-Вводные!$B$20),0)-Вводные!$B$26-Вводные!$B$25)-IFERROR(Вводные!$B$41/Билеты!$B$23,Вводные!$B$41))&lt;=0,"н/д",ROUNDUP(Расходы!$E$58/(H$28*(1-IF(Вводные!$B$18=2,Вводные!$B$19*(1-Вводные!$B$20),0)-Вводные!$B$26-Вводные!$B$25)-IFERROR(Вводные!$B$41/Билеты!$B$23,Вводные!$B$41)),0))</f>
        <v>97</v>
      </c>
    </row>
    <row r="30" customFormat="false" ht="15" hidden="false" customHeight="false" outlineLevel="0" collapsed="false">
      <c r="A30" s="6" t="s">
        <v>366</v>
      </c>
      <c r="B30" s="90" t="n">
        <f aca="false">IFERROR(B29/Билеты!$B$23/Вводные!$B$12,"н/д")</f>
        <v>1.05559027777778</v>
      </c>
      <c r="C30" s="90" t="n">
        <f aca="false">IFERROR(C29/Билеты!$B$23/Вводные!$B$12,"н/д")</f>
        <v>0.782048611111111</v>
      </c>
      <c r="D30" s="90" t="n">
        <f aca="false">IFERROR(D29/Билеты!$B$23/Вводные!$B$12,"н/д")</f>
        <v>0.620729166666667</v>
      </c>
      <c r="E30" s="90" t="n">
        <f aca="false">IFERROR(E29/Билеты!$B$23/Вводные!$B$12,"н/д")</f>
        <v>0.515520833333333</v>
      </c>
      <c r="F30" s="90" t="n">
        <f aca="false">IFERROR(F29/Билеты!$B$23/Вводные!$B$12,"н/д")</f>
        <v>0.441875</v>
      </c>
      <c r="G30" s="90" t="n">
        <f aca="false">IFERROR(G29/Билеты!$B$23/Вводные!$B$12,"н/д")</f>
        <v>0.385763888888889</v>
      </c>
      <c r="H30" s="90" t="n">
        <f aca="false">IFERROR(H29/Билеты!$B$23/Вводные!$B$12,"н/д")</f>
        <v>0.340173611111111</v>
      </c>
    </row>
  </sheetData>
  <conditionalFormatting sqref="B6:H13">
    <cfRule type="colorScale" priority="2">
      <colorScale>
        <cfvo type="num" val="-300000"/>
        <cfvo type="num" val="0"/>
        <cfvo type="num" val="500000"/>
        <color rgb="FFF8696B"/>
        <color rgb="FFFFEB84"/>
        <color rgb="FF63BE7B"/>
      </colorScale>
    </cfRule>
  </conditionalFormatting>
  <conditionalFormatting sqref="B17:H24">
    <cfRule type="colorScale" priority="3">
      <colorScale>
        <cfvo type="num" val="-300000"/>
        <cfvo type="num" val="0"/>
        <cfvo type="num" val="500000"/>
        <color rgb="FFF8696B"/>
        <color rgb="FFFFEB84"/>
        <color rgb="FF63BE7B"/>
      </colorScale>
    </cfRule>
  </conditionalFormatting>
  <conditionalFormatting sqref="B30:H30">
    <cfRule type="cellIs" priority="4" operator="greaterThan" aboveAverage="0" equalAverage="0" bottom="0" percent="0" rank="0" text="" dxfId="0">
      <formula>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2"/>
    <col collapsed="false" customWidth="true" hidden="false" outlineLevel="0" max="3" min="3" style="0" width="52"/>
    <col collapsed="false" customWidth="true" hidden="false" outlineLevel="0" max="4" min="4" style="0" width="34"/>
    <col collapsed="false" customWidth="true" hidden="false" outlineLevel="0" max="5" min="5" style="0" width="20"/>
    <col collapsed="false" customWidth="true" hidden="false" outlineLevel="0" max="6" min="6" style="0" width="52"/>
  </cols>
  <sheetData>
    <row r="1" customFormat="false" ht="30" hidden="false" customHeight="true" outlineLevel="0" collapsed="false">
      <c r="A1" s="1" t="s">
        <v>367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3" t="s">
        <v>368</v>
      </c>
      <c r="B2" s="4"/>
      <c r="C2" s="4"/>
      <c r="D2" s="4"/>
      <c r="E2" s="4"/>
      <c r="F2" s="4"/>
      <c r="G2" s="4"/>
      <c r="H2" s="4"/>
    </row>
    <row r="3" customFormat="false" ht="15" hidden="false" customHeight="false" outlineLevel="0" collapsed="false">
      <c r="A3" s="4"/>
      <c r="B3" s="4"/>
      <c r="C3" s="4"/>
      <c r="D3" s="4"/>
      <c r="E3" s="4"/>
      <c r="F3" s="4"/>
      <c r="G3" s="4"/>
      <c r="H3" s="4"/>
    </row>
    <row r="4" customFormat="false" ht="30" hidden="false" customHeight="true" outlineLevel="0" collapsed="false">
      <c r="A4" s="31" t="s">
        <v>369</v>
      </c>
      <c r="B4" s="31" t="s">
        <v>370</v>
      </c>
      <c r="C4" s="31" t="s">
        <v>371</v>
      </c>
      <c r="D4" s="31" t="s">
        <v>372</v>
      </c>
      <c r="E4" s="31" t="s">
        <v>373</v>
      </c>
      <c r="F4" s="31" t="s">
        <v>374</v>
      </c>
      <c r="G4" s="4"/>
      <c r="H4" s="4"/>
    </row>
    <row r="5" customFormat="false" ht="45.75" hidden="false" customHeight="true" outlineLevel="0" collapsed="false">
      <c r="A5" s="91" t="n">
        <v>1</v>
      </c>
      <c r="B5" s="92" t="s">
        <v>375</v>
      </c>
      <c r="C5" s="93" t="s">
        <v>376</v>
      </c>
      <c r="D5" s="94" t="s">
        <v>377</v>
      </c>
      <c r="E5" s="95" t="s">
        <v>378</v>
      </c>
      <c r="F5" s="96" t="s">
        <v>379</v>
      </c>
      <c r="G5" s="4"/>
      <c r="H5" s="4"/>
    </row>
    <row r="6" customFormat="false" ht="45.75" hidden="false" customHeight="true" outlineLevel="0" collapsed="false">
      <c r="A6" s="97" t="n">
        <v>2</v>
      </c>
      <c r="B6" s="98" t="s">
        <v>375</v>
      </c>
      <c r="C6" s="99" t="s">
        <v>380</v>
      </c>
      <c r="D6" s="100" t="s">
        <v>381</v>
      </c>
      <c r="E6" s="101" t="s">
        <v>382</v>
      </c>
      <c r="F6" s="102" t="s">
        <v>383</v>
      </c>
      <c r="G6" s="4"/>
      <c r="H6" s="4"/>
    </row>
    <row r="7" customFormat="false" ht="45.75" hidden="false" customHeight="true" outlineLevel="0" collapsed="false">
      <c r="A7" s="91" t="n">
        <v>3</v>
      </c>
      <c r="B7" s="92" t="s">
        <v>375</v>
      </c>
      <c r="C7" s="93" t="s">
        <v>384</v>
      </c>
      <c r="D7" s="94" t="s">
        <v>385</v>
      </c>
      <c r="E7" s="95" t="s">
        <v>386</v>
      </c>
      <c r="F7" s="96" t="s">
        <v>387</v>
      </c>
      <c r="G7" s="4"/>
      <c r="H7" s="4"/>
    </row>
    <row r="8" customFormat="false" ht="45.75" hidden="false" customHeight="true" outlineLevel="0" collapsed="false">
      <c r="A8" s="97" t="n">
        <v>4</v>
      </c>
      <c r="B8" s="98" t="s">
        <v>388</v>
      </c>
      <c r="C8" s="99" t="s">
        <v>389</v>
      </c>
      <c r="D8" s="100" t="s">
        <v>390</v>
      </c>
      <c r="E8" s="101" t="s">
        <v>391</v>
      </c>
      <c r="F8" s="102" t="s">
        <v>392</v>
      </c>
      <c r="G8" s="4"/>
      <c r="H8" s="4"/>
    </row>
    <row r="9" customFormat="false" ht="45.75" hidden="false" customHeight="true" outlineLevel="0" collapsed="false">
      <c r="A9" s="91" t="n">
        <v>5</v>
      </c>
      <c r="B9" s="92" t="s">
        <v>388</v>
      </c>
      <c r="C9" s="93" t="s">
        <v>393</v>
      </c>
      <c r="D9" s="94" t="s">
        <v>394</v>
      </c>
      <c r="E9" s="95" t="s">
        <v>395</v>
      </c>
      <c r="F9" s="96" t="s">
        <v>396</v>
      </c>
      <c r="G9" s="4"/>
      <c r="H9" s="4"/>
    </row>
    <row r="10" customFormat="false" ht="45.75" hidden="false" customHeight="true" outlineLevel="0" collapsed="false">
      <c r="A10" s="97" t="n">
        <v>6</v>
      </c>
      <c r="B10" s="98" t="s">
        <v>388</v>
      </c>
      <c r="C10" s="99" t="s">
        <v>397</v>
      </c>
      <c r="D10" s="100" t="s">
        <v>398</v>
      </c>
      <c r="E10" s="101" t="s">
        <v>399</v>
      </c>
      <c r="F10" s="102" t="s">
        <v>400</v>
      </c>
      <c r="G10" s="4"/>
      <c r="H10" s="4"/>
    </row>
    <row r="11" customFormat="false" ht="45.75" hidden="false" customHeight="true" outlineLevel="0" collapsed="false">
      <c r="A11" s="91" t="n">
        <v>7</v>
      </c>
      <c r="B11" s="92" t="s">
        <v>401</v>
      </c>
      <c r="C11" s="93" t="s">
        <v>402</v>
      </c>
      <c r="D11" s="94" t="s">
        <v>403</v>
      </c>
      <c r="E11" s="95" t="s">
        <v>404</v>
      </c>
      <c r="F11" s="96" t="s">
        <v>405</v>
      </c>
      <c r="G11" s="4"/>
      <c r="H11" s="4"/>
    </row>
    <row r="12" customFormat="false" ht="45.75" hidden="false" customHeight="true" outlineLevel="0" collapsed="false">
      <c r="A12" s="97" t="n">
        <v>8</v>
      </c>
      <c r="B12" s="98" t="s">
        <v>401</v>
      </c>
      <c r="C12" s="99" t="s">
        <v>406</v>
      </c>
      <c r="D12" s="100" t="s">
        <v>407</v>
      </c>
      <c r="E12" s="101" t="s">
        <v>408</v>
      </c>
      <c r="F12" s="102" t="s">
        <v>409</v>
      </c>
      <c r="G12" s="4"/>
      <c r="H12" s="4"/>
    </row>
    <row r="13" customFormat="false" ht="45.75" hidden="false" customHeight="true" outlineLevel="0" collapsed="false">
      <c r="A13" s="91" t="n">
        <v>9</v>
      </c>
      <c r="B13" s="92" t="s">
        <v>410</v>
      </c>
      <c r="C13" s="93" t="s">
        <v>411</v>
      </c>
      <c r="D13" s="94" t="s">
        <v>412</v>
      </c>
      <c r="E13" s="95" t="s">
        <v>413</v>
      </c>
      <c r="F13" s="96" t="s">
        <v>414</v>
      </c>
      <c r="G13" s="4"/>
      <c r="H13" s="4"/>
    </row>
    <row r="14" customFormat="false" ht="45.75" hidden="false" customHeight="true" outlineLevel="0" collapsed="false">
      <c r="A14" s="97" t="n">
        <v>10</v>
      </c>
      <c r="B14" s="98" t="s">
        <v>415</v>
      </c>
      <c r="C14" s="99" t="s">
        <v>416</v>
      </c>
      <c r="D14" s="100" t="s">
        <v>417</v>
      </c>
      <c r="E14" s="101" t="s">
        <v>418</v>
      </c>
      <c r="F14" s="102" t="s">
        <v>419</v>
      </c>
      <c r="G14" s="4"/>
      <c r="H14" s="4"/>
    </row>
    <row r="15" customFormat="false" ht="45.75" hidden="false" customHeight="true" outlineLevel="0" collapsed="false">
      <c r="A15" s="91" t="n">
        <v>11</v>
      </c>
      <c r="B15" s="92" t="s">
        <v>420</v>
      </c>
      <c r="C15" s="93" t="s">
        <v>421</v>
      </c>
      <c r="D15" s="94" t="s">
        <v>422</v>
      </c>
      <c r="E15" s="95" t="s">
        <v>423</v>
      </c>
      <c r="F15" s="96" t="s">
        <v>424</v>
      </c>
      <c r="G15" s="4"/>
      <c r="H15" s="4"/>
    </row>
    <row r="16" customFormat="false" ht="45.75" hidden="false" customHeight="true" outlineLevel="0" collapsed="false">
      <c r="A16" s="97" t="n">
        <v>12</v>
      </c>
      <c r="B16" s="98" t="s">
        <v>420</v>
      </c>
      <c r="C16" s="99" t="s">
        <v>425</v>
      </c>
      <c r="D16" s="100" t="s">
        <v>426</v>
      </c>
      <c r="E16" s="101" t="s">
        <v>427</v>
      </c>
      <c r="F16" s="102" t="s">
        <v>428</v>
      </c>
      <c r="G16" s="4"/>
      <c r="H16" s="4"/>
    </row>
    <row r="17" customFormat="false" ht="45.75" hidden="false" customHeight="true" outlineLevel="0" collapsed="false">
      <c r="A17" s="91" t="n">
        <v>13</v>
      </c>
      <c r="B17" s="92" t="s">
        <v>420</v>
      </c>
      <c r="C17" s="93" t="s">
        <v>429</v>
      </c>
      <c r="D17" s="94" t="s">
        <v>430</v>
      </c>
      <c r="E17" s="95" t="s">
        <v>431</v>
      </c>
      <c r="F17" s="96" t="s">
        <v>432</v>
      </c>
      <c r="G17" s="4"/>
      <c r="H17" s="4"/>
    </row>
    <row r="18" customFormat="false" ht="45.75" hidden="false" customHeight="true" outlineLevel="0" collapsed="false">
      <c r="A18" s="97" t="n">
        <v>14</v>
      </c>
      <c r="B18" s="98" t="s">
        <v>433</v>
      </c>
      <c r="C18" s="99" t="s">
        <v>434</v>
      </c>
      <c r="D18" s="100" t="s">
        <v>435</v>
      </c>
      <c r="E18" s="101" t="s">
        <v>436</v>
      </c>
      <c r="F18" s="102" t="s">
        <v>437</v>
      </c>
      <c r="G18" s="4"/>
      <c r="H18" s="4"/>
    </row>
    <row r="19" customFormat="false" ht="45.75" hidden="false" customHeight="true" outlineLevel="0" collapsed="false">
      <c r="A19" s="91" t="n">
        <v>15</v>
      </c>
      <c r="B19" s="92" t="s">
        <v>433</v>
      </c>
      <c r="C19" s="93" t="s">
        <v>438</v>
      </c>
      <c r="D19" s="94" t="s">
        <v>439</v>
      </c>
      <c r="E19" s="95" t="s">
        <v>440</v>
      </c>
      <c r="F19" s="96" t="s">
        <v>441</v>
      </c>
      <c r="G19" s="4"/>
      <c r="H19" s="4"/>
    </row>
    <row r="20" customFormat="false" ht="45.75" hidden="false" customHeight="true" outlineLevel="0" collapsed="false">
      <c r="A20" s="97" t="n">
        <v>16</v>
      </c>
      <c r="B20" s="98" t="s">
        <v>433</v>
      </c>
      <c r="C20" s="99" t="s">
        <v>442</v>
      </c>
      <c r="D20" s="100" t="s">
        <v>443</v>
      </c>
      <c r="E20" s="101" t="s">
        <v>444</v>
      </c>
      <c r="F20" s="102" t="s">
        <v>445</v>
      </c>
      <c r="G20" s="4"/>
      <c r="H20" s="4"/>
    </row>
    <row r="21" customFormat="false" ht="45.75" hidden="false" customHeight="true" outlineLevel="0" collapsed="false">
      <c r="A21" s="91" t="n">
        <v>17</v>
      </c>
      <c r="B21" s="92" t="s">
        <v>446</v>
      </c>
      <c r="C21" s="93" t="s">
        <v>447</v>
      </c>
      <c r="D21" s="94" t="s">
        <v>448</v>
      </c>
      <c r="E21" s="95" t="s">
        <v>449</v>
      </c>
      <c r="F21" s="96" t="s">
        <v>450</v>
      </c>
      <c r="G21" s="4"/>
      <c r="H21" s="4"/>
    </row>
    <row r="22" customFormat="false" ht="45.75" hidden="false" customHeight="true" outlineLevel="0" collapsed="false">
      <c r="A22" s="97" t="n">
        <v>18</v>
      </c>
      <c r="B22" s="98" t="s">
        <v>446</v>
      </c>
      <c r="C22" s="99" t="s">
        <v>451</v>
      </c>
      <c r="D22" s="100" t="s">
        <v>452</v>
      </c>
      <c r="E22" s="101" t="s">
        <v>453</v>
      </c>
      <c r="F22" s="102" t="s">
        <v>454</v>
      </c>
      <c r="G22" s="4"/>
      <c r="H22" s="4"/>
    </row>
    <row r="23" customFormat="false" ht="45.75" hidden="false" customHeight="true" outlineLevel="0" collapsed="false">
      <c r="A23" s="91" t="n">
        <v>19</v>
      </c>
      <c r="B23" s="92" t="s">
        <v>446</v>
      </c>
      <c r="C23" s="93" t="s">
        <v>455</v>
      </c>
      <c r="D23" s="94" t="s">
        <v>456</v>
      </c>
      <c r="E23" s="95" t="s">
        <v>457</v>
      </c>
      <c r="F23" s="96" t="s">
        <v>458</v>
      </c>
      <c r="G23" s="4"/>
      <c r="H23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2026-09-05T16:01:02Z</dcterms:created>
  <dc:creator>openpyxl</dc:creator>
  <dc:description/>
  <dc:language>en-US</dc:language>
  <cp:lastModifiedBy/>
  <dcterms:modified xsi:type="dcterms:W3CDTF">2026-09-05T16:01:02Z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