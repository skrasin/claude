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Бюджет" sheetId="1" state="visible" r:id="rId3"/>
  </sheets>
  <definedNames>
    <definedName function="false" hidden="false" localSheetId="0" name="_xlnm.Print_Area" vbProcedure="false">Бюджет!$A$1:$D$19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<sst xmlns="http://schemas.openxmlformats.org/spreadsheetml/2006/main" count="21" uniqueCount="21">
  <si>
    <t xml:space="preserve">БЮДЖЕТ КОНЦЕРТА</t>
  </si>
  <si>
    <t xml:space="preserve">Жёлтые ячейки заполняете вы. Суммы считаются сами.</t>
  </si>
  <si>
    <t xml:space="preserve">Статья</t>
  </si>
  <si>
    <t xml:space="preserve">Кол-во</t>
  </si>
  <si>
    <t xml:space="preserve">Цена / ставка</t>
  </si>
  <si>
    <t xml:space="preserve">Сумма, ₽</t>
  </si>
  <si>
    <t xml:space="preserve">1. ВАЛОВОЙ СБОР</t>
  </si>
  <si>
    <t xml:space="preserve">2. Налоги УСН</t>
  </si>
  <si>
    <t xml:space="preserve">Комиссия за продажу билетов</t>
  </si>
  <si>
    <t xml:space="preserve">Отчисления в РАО</t>
  </si>
  <si>
    <t xml:space="preserve">3. Технические расходы</t>
  </si>
  <si>
    <t xml:space="preserve">4. ПРИБЫЛЬ</t>
  </si>
  <si>
    <t xml:space="preserve">5. Доля площадки</t>
  </si>
  <si>
    <t xml:space="preserve">6. ПРИБЫЛЬ ОРГАНИЗАТОРА</t>
  </si>
  <si>
    <t xml:space="preserve">Налоги</t>
  </si>
  <si>
    <t xml:space="preserve">Банковские комиссии</t>
  </si>
  <si>
    <t xml:space="preserve">Гонорары</t>
  </si>
  <si>
    <t xml:space="preserve">Маркетинг</t>
  </si>
  <si>
    <t xml:space="preserve">PR</t>
  </si>
  <si>
    <t xml:space="preserve">Прочие расходы</t>
  </si>
  <si>
    <t xml:space="preserve">7. ЧИСТЫЙ ДОХОД ОРГАНИЗАТОРА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</si>
</sst>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[RED]\-#,##0;\—"/>
    <numFmt numFmtId="166" formatCode="#,##0&quot; ₽&quot;;[RED]\-#,##0&quot; ₽&quot;;\—"/>
    <numFmt numFmtId="167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546A"/>
        <bgColor rgb="FF404040"/>
      </patternFill>
    </fill>
    <fill>
      <patternFill patternType="solid">
        <fgColor rgb="FFFFF9E6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404040"/>
      </top>
      <bottom/>
      <diagonal/>
    </border>
    <border diagonalUp="false" diagonalDown="false">
      <left/>
      <right/>
      <top style="double">
        <color rgb="FF40404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false" outlineLevel="0" collapsed="false">
      <c r="A5" s="5" t="s">
        <v>6</v>
      </c>
      <c r="B5" s="6" t="n">
        <v>200</v>
      </c>
      <c r="C5" s="7" t="n">
        <v>2500</v>
      </c>
      <c r="D5" s="8" t="n">
        <f aca="false">B5*C5</f>
        <v>500000</v>
      </c>
    </row>
    <row r="6" customFormat="false" ht="15" hidden="false" customHeight="false" outlineLevel="0" collapsed="false">
      <c r="A6" s="9" t="s">
        <v>7</v>
      </c>
      <c r="C6" s="10" t="n">
        <v>0.06</v>
      </c>
      <c r="D6" s="11" t="n">
        <f aca="false">-$D$5*C6</f>
        <v>-30000</v>
      </c>
    </row>
    <row r="7" customFormat="false" ht="15" hidden="false" customHeight="false" outlineLevel="0" collapsed="false">
      <c r="A7" s="12" t="s">
        <v>8</v>
      </c>
      <c r="C7" s="10" t="n">
        <v>0.05</v>
      </c>
      <c r="D7" s="11" t="n">
        <f aca="false">-$D$5*C7</f>
        <v>-25000</v>
      </c>
    </row>
    <row r="8" customFormat="false" ht="15" hidden="false" customHeight="false" outlineLevel="0" collapsed="false">
      <c r="A8" s="12" t="s">
        <v>9</v>
      </c>
      <c r="C8" s="10" t="n">
        <v>0.08</v>
      </c>
      <c r="D8" s="11" t="n">
        <f aca="false">-$D$5*C8</f>
        <v>-40000</v>
      </c>
    </row>
    <row r="9" customFormat="false" ht="15" hidden="false" customHeight="false" outlineLevel="0" collapsed="false">
      <c r="A9" s="9" t="s">
        <v>10</v>
      </c>
      <c r="D9" s="7" t="n">
        <v>-150000</v>
      </c>
    </row>
    <row r="10" customFormat="false" ht="21.75" hidden="false" customHeight="true" outlineLevel="0" collapsed="false">
      <c r="A10" s="13" t="s">
        <v>11</v>
      </c>
      <c r="B10" s="14"/>
      <c r="C10" s="14"/>
      <c r="D10" s="15" t="n">
        <f aca="false">$D$5+$D$6+$D$7+$D$8+$D$9</f>
        <v>255000</v>
      </c>
    </row>
    <row r="11" customFormat="false" ht="15" hidden="false" customHeight="false" outlineLevel="0" collapsed="false">
      <c r="A11" s="9" t="s">
        <v>12</v>
      </c>
      <c r="C11" s="10" t="n">
        <v>0.5</v>
      </c>
      <c r="D11" s="11" t="n">
        <f aca="false">-$D$10*C11</f>
        <v>-127500</v>
      </c>
    </row>
    <row r="12" customFormat="false" ht="21.75" hidden="false" customHeight="true" outlineLevel="0" collapsed="false">
      <c r="A12" s="13" t="s">
        <v>13</v>
      </c>
      <c r="B12" s="14"/>
      <c r="C12" s="14"/>
      <c r="D12" s="15" t="n">
        <f aca="false">$D$10+$D$11</f>
        <v>127500</v>
      </c>
    </row>
    <row r="13" customFormat="false" ht="15" hidden="false" customHeight="false" outlineLevel="0" collapsed="false">
      <c r="A13" s="12" t="s">
        <v>14</v>
      </c>
      <c r="C13" s="10" t="n">
        <v>0.07</v>
      </c>
      <c r="D13" s="11" t="n">
        <f aca="false">-MAX(0,$D$12)*C13</f>
        <v>-8925</v>
      </c>
    </row>
    <row r="14" customFormat="false" ht="15" hidden="false" customHeight="false" outlineLevel="0" collapsed="false">
      <c r="A14" s="12" t="s">
        <v>15</v>
      </c>
      <c r="C14" s="10" t="n">
        <v>0.01</v>
      </c>
      <c r="D14" s="11" t="n">
        <f aca="false">-MAX(0,$D$12)*C14</f>
        <v>-1275</v>
      </c>
    </row>
    <row r="15" customFormat="false" ht="15" hidden="false" customHeight="false" outlineLevel="0" collapsed="false">
      <c r="A15" s="12" t="s">
        <v>16</v>
      </c>
      <c r="D15" s="7" t="n">
        <v>-50000</v>
      </c>
    </row>
    <row r="16" customFormat="false" ht="15" hidden="false" customHeight="false" outlineLevel="0" collapsed="false">
      <c r="A16" s="12" t="s">
        <v>17</v>
      </c>
      <c r="D16" s="7" t="n">
        <v>-50000</v>
      </c>
    </row>
    <row r="17" customFormat="false" ht="15" hidden="false" customHeight="false" outlineLevel="0" collapsed="false">
      <c r="A17" s="12" t="s">
        <v>18</v>
      </c>
      <c r="D17" s="7" t="n">
        <v>-15000</v>
      </c>
    </row>
    <row r="18" customFormat="false" ht="15" hidden="false" customHeight="false" outlineLevel="0" collapsed="false">
      <c r="A18" s="12" t="s">
        <v>19</v>
      </c>
      <c r="D18" s="7" t="n">
        <v>-50000</v>
      </c>
    </row>
    <row r="19" customFormat="false" ht="30" hidden="false" customHeight="true" outlineLevel="0" collapsed="false">
      <c r="A19" s="16" t="s">
        <v>20</v>
      </c>
      <c r="B19" s="17"/>
      <c r="C19" s="17"/>
      <c r="D19" s="18" t="n">
        <f aca="false">$D$12+SUM(D13:D18)</f>
        <v>-47700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2026-09-05T17:04:03Z</dcterms:created>
  <dc:creator>openpyxl</dc:creator>
  <dc:description/>
  <dc:language>en-US</dc:language>
  <cp:lastModifiedBy/>
  <dcterms:modified xsi:type="dcterms:W3CDTF">2026-09-05T17:04:03Z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