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Бюджет" sheetId="1" state="visible" r:id="rId3"/>
  </sheets>
  <definedNames>
    <definedName function="false" hidden="false" localSheetId="0" name="_xlnm.Print_Area" vbProcedure="false">Бюджет!$A$1:$D$90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<sst xmlns="http://schemas.openxmlformats.org/spreadsheetml/2006/main" count="102" uniqueCount="102">
  <si>
    <t xml:space="preserve">БЮДЖЕТ КОНЦЕРТА</t>
  </si>
  <si>
    <t xml:space="preserve">Заполняйте ячейки на жёлтом фоне. Суммы и итоги считаются сами.</t>
  </si>
  <si>
    <t xml:space="preserve">Статья</t>
  </si>
  <si>
    <t xml:space="preserve">Кол-во</t>
  </si>
  <si>
    <t xml:space="preserve">Цена / ставка</t>
  </si>
  <si>
    <t xml:space="preserve">Сумма, ₽</t>
  </si>
  <si>
    <t xml:space="preserve">БИЛЕТЫ</t>
  </si>
  <si>
    <t xml:space="preserve">Ранняя пташка (early bird)</t>
  </si>
  <si>
    <t xml:space="preserve">Первые 2 недели продаж</t>
  </si>
  <si>
    <t xml:space="preserve">Стандарт (предпродажа)</t>
  </si>
  <si>
    <t xml:space="preserve">Основная квота зала</t>
  </si>
  <si>
    <t xml:space="preserve">Стандарт (на входе)</t>
  </si>
  <si>
    <t xml:space="preserve">Цена в день концерта выше</t>
  </si>
  <si>
    <t xml:space="preserve">Фан-зона у сцены / VIP</t>
  </si>
  <si>
    <t xml:space="preserve">Льготный (студенты)</t>
  </si>
  <si>
    <t xml:space="preserve">Промо, пресс, гости</t>
  </si>
  <si>
    <t xml:space="preserve">Занимают места, денег не приносят</t>
  </si>
  <si>
    <t xml:space="preserve">1. ВАЛОВОЙ СБОР</t>
  </si>
  <si>
    <t xml:space="preserve">ВЫЧЕТЫ ИЗ ВАЛОВОГО СБОРА</t>
  </si>
  <si>
    <t xml:space="preserve">2. Налоги УСН</t>
  </si>
  <si>
    <t xml:space="preserve">3. Комиссия за продажу билетов</t>
  </si>
  <si>
    <t xml:space="preserve">Считается от валового сбора</t>
  </si>
  <si>
    <t xml:space="preserve">4. Отчисления в РАО</t>
  </si>
  <si>
    <t xml:space="preserve">5. ТЕХНИЧЕСКИЕ РАСХОДЫ: АРЕНДА ЗВУКА И ОБЕСПЕЧЕНИЕ ПЛОЩАДКИ</t>
  </si>
  <si>
    <t xml:space="preserve">Аренда зала (смена)</t>
  </si>
  <si>
    <t xml:space="preserve">Аренда звукового комплекта PA</t>
  </si>
  <si>
    <t xml:space="preserve">Микрофоны, радиосистемы, стойки</t>
  </si>
  <si>
    <t xml:space="preserve">Мониторная линия / in-ear</t>
  </si>
  <si>
    <t xml:space="preserve">Звукорежиссёр FOH</t>
  </si>
  <si>
    <t xml:space="preserve">Мониторный инженер</t>
  </si>
  <si>
    <t xml:space="preserve">В клубе часто совмещается с FOH</t>
  </si>
  <si>
    <t xml:space="preserve">Световое оборудование</t>
  </si>
  <si>
    <t xml:space="preserve">Художник по свету / оператор</t>
  </si>
  <si>
    <t xml:space="preserve">Бэклайн: барабаны, усилители, клавиши</t>
  </si>
  <si>
    <t xml:space="preserve">Поставьте 1, если привозной</t>
  </si>
  <si>
    <t xml:space="preserve">Экран, проекция, видеоконтент</t>
  </si>
  <si>
    <t xml:space="preserve">Поставьте 1, если есть видеоряд</t>
  </si>
  <si>
    <t xml:space="preserve">Электрика, кабели, распределение</t>
  </si>
  <si>
    <t xml:space="preserve">Монтаж, демонтаж, погрузка</t>
  </si>
  <si>
    <t xml:space="preserve">Охрана</t>
  </si>
  <si>
    <t xml:space="preserve">1 человек на 75–100 гостей</t>
  </si>
  <si>
    <t xml:space="preserve">Билетный контроль и гардероб</t>
  </si>
  <si>
    <t xml:space="preserve">Уборка до и после</t>
  </si>
  <si>
    <t xml:space="preserve">Дежурный медик</t>
  </si>
  <si>
    <t xml:space="preserve">Администратор площадки</t>
  </si>
  <si>
    <t xml:space="preserve">Итого технических расходов</t>
  </si>
  <si>
    <t xml:space="preserve">6. ПРИБЫЛЬ</t>
  </si>
  <si>
    <t xml:space="preserve">Эта сумма делится с площадкой пополам</t>
  </si>
  <si>
    <t xml:space="preserve">РАЗДЕЛ ПРИБЫЛИ</t>
  </si>
  <si>
    <t xml:space="preserve">Доля площадки</t>
  </si>
  <si>
    <t xml:space="preserve">ПРИБЫЛЬ ОРГАНИЗАТОРА</t>
  </si>
  <si>
    <t xml:space="preserve">Из неё дальше вычитается всё остальное</t>
  </si>
  <si>
    <t xml:space="preserve">РАСХОДЫ ИЗ ПРИБЫЛИ ОРГАНИЗАТОРА</t>
  </si>
  <si>
    <t xml:space="preserve">Налоги</t>
  </si>
  <si>
    <t xml:space="preserve">Банковские комиссии</t>
  </si>
  <si>
    <t xml:space="preserve">ГОНОРАРЫ АРТИСТАМ</t>
  </si>
  <si>
    <t xml:space="preserve">Артист / хедлайнер</t>
  </si>
  <si>
    <t xml:space="preserve">Музыкант: гитара</t>
  </si>
  <si>
    <t xml:space="preserve">Музыкант: бас</t>
  </si>
  <si>
    <t xml:space="preserve">Музыкант: барабаны</t>
  </si>
  <si>
    <t xml:space="preserve">Музыкант: клавиши</t>
  </si>
  <si>
    <t xml:space="preserve">Разогрев / support act</t>
  </si>
  <si>
    <t xml:space="preserve">Часто выступает за билеты и промо</t>
  </si>
  <si>
    <t xml:space="preserve">Итого гонорары</t>
  </si>
  <si>
    <t xml:space="preserve">МАРКЕТИНГ И PR</t>
  </si>
  <si>
    <t xml:space="preserve">Таргетированная реклама VK</t>
  </si>
  <si>
    <t xml:space="preserve">Посевы в Telegram-каналах</t>
  </si>
  <si>
    <t xml:space="preserve">Блогеры и лидеры мнений</t>
  </si>
  <si>
    <t xml:space="preserve">Часть работает по бартеру за билеты</t>
  </si>
  <si>
    <t xml:space="preserve">Наружная реклама и расклейка афиш</t>
  </si>
  <si>
    <t xml:space="preserve">Городские афиши: Яндекс.Афиша, KudaGo</t>
  </si>
  <si>
    <t xml:space="preserve">Бесплатно, подавать за 3–4 недели</t>
  </si>
  <si>
    <t xml:space="preserve">PR: пресс-релиз, СМИ, интервью</t>
  </si>
  <si>
    <t xml:space="preserve">Email и база подписчиков</t>
  </si>
  <si>
    <t xml:space="preserve">Самый дешёвый билет</t>
  </si>
  <si>
    <t xml:space="preserve">Дизайн, тизер, съёмка контента</t>
  </si>
  <si>
    <t xml:space="preserve">Итого маркетинг и PR</t>
  </si>
  <si>
    <t xml:space="preserve">ПРОЧИЕ РАСХОДЫ</t>
  </si>
  <si>
    <t xml:space="preserve">Полиграфия: афиши, флаеры</t>
  </si>
  <si>
    <t xml:space="preserve">Печать. Размещение — в маркетинге</t>
  </si>
  <si>
    <t xml:space="preserve">Бейджи, браслеты, программки</t>
  </si>
  <si>
    <t xml:space="preserve">Оформление сцены и зала</t>
  </si>
  <si>
    <t xml:space="preserve">Репетиции, аренда репбазы</t>
  </si>
  <si>
    <t xml:space="preserve">Транспорт оборудования</t>
  </si>
  <si>
    <t xml:space="preserve">Трансфер и проживание команды</t>
  </si>
  <si>
    <t xml:space="preserve">Если команда не местная</t>
  </si>
  <si>
    <t xml:space="preserve">Кейтеринг и райдер бэкстейджа</t>
  </si>
  <si>
    <t xml:space="preserve">По числу людей на площадке</t>
  </si>
  <si>
    <t xml:space="preserve">Фотограф</t>
  </si>
  <si>
    <t xml:space="preserve">Видеосъёмка концерта</t>
  </si>
  <si>
    <t xml:space="preserve">Юридическое сопровождение</t>
  </si>
  <si>
    <t xml:space="preserve">Договоры с площадкой, артистами, РАО</t>
  </si>
  <si>
    <t xml:space="preserve">Резерв на непредвиденное</t>
  </si>
  <si>
    <t xml:space="preserve">Итого прочие расходы</t>
  </si>
  <si>
    <t xml:space="preserve">ЧИСТЫЙ ДОХОД ОРГАНИЗАТОРА</t>
  </si>
  <si>
    <t xml:space="preserve">СПРАВОЧНО</t>
  </si>
  <si>
    <t xml:space="preserve">Вместимость зала, чел.</t>
  </si>
  <si>
    <t xml:space="preserve">Средняя цена платного билета</t>
  </si>
  <si>
    <t xml:space="preserve">Валовой сбор для выхода в ноль</t>
  </si>
  <si>
    <t xml:space="preserve">Нужно продать платных билетов</t>
  </si>
  <si>
    <t xml:space="preserve">Это заполняемость зала (с промо-билетами)</t>
  </si>
  <si>
    <t xml:space="preserve">Больше 100% — при этих ценах и расходах концерт не окупается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</si>
</sst>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—"/>
    <numFmt numFmtId="166" formatCode="#,##0&quot; ₽&quot;;[RED]\-#,##0&quot; ₽&quot;;\—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546A"/>
        <bgColor rgb="FF404040"/>
      </patternFill>
    </fill>
    <fill>
      <patternFill patternType="solid">
        <fgColor rgb="FFEDF2F9"/>
        <bgColor rgb="FFFFF9E6"/>
      </patternFill>
    </fill>
    <fill>
      <patternFill patternType="solid">
        <fgColor rgb="FFFFF9E6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04040"/>
      </bottom>
      <diagonal/>
    </border>
    <border diagonalUp="false" diagonalDown="false">
      <left/>
      <right/>
      <top/>
      <bottom style="thin">
        <color rgb="FFD0D0D0"/>
      </bottom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double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EDF2F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2"/>
    <col collapsed="false" customWidth="true" hidden="false" outlineLevel="0" max="6" min="6" style="0" width="5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</row>
    <row r="6" customFormat="false" ht="15" hidden="false" customHeight="false" outlineLevel="0" collapsed="false">
      <c r="A6" s="7" t="s">
        <v>7</v>
      </c>
      <c r="B6" s="8" t="n">
        <v>57</v>
      </c>
      <c r="C6" s="9" t="n">
        <v>1800</v>
      </c>
      <c r="D6" s="10" t="n">
        <f aca="false">B6*C6</f>
        <v>102600</v>
      </c>
      <c r="F6" s="2" t="s">
        <v>8</v>
      </c>
    </row>
    <row r="7" customFormat="false" ht="15" hidden="false" customHeight="false" outlineLevel="0" collapsed="false">
      <c r="A7" s="7" t="s">
        <v>9</v>
      </c>
      <c r="B7" s="8" t="n">
        <v>90</v>
      </c>
      <c r="C7" s="9" t="n">
        <v>2500</v>
      </c>
      <c r="D7" s="10" t="n">
        <f aca="false">B7*C7</f>
        <v>225000</v>
      </c>
      <c r="F7" s="2" t="s">
        <v>10</v>
      </c>
    </row>
    <row r="8" customFormat="false" ht="15" hidden="false" customHeight="false" outlineLevel="0" collapsed="false">
      <c r="A8" s="7" t="s">
        <v>11</v>
      </c>
      <c r="B8" s="8" t="n">
        <v>20</v>
      </c>
      <c r="C8" s="9" t="n">
        <v>2800</v>
      </c>
      <c r="D8" s="10" t="n">
        <f aca="false">B8*C8</f>
        <v>56000</v>
      </c>
      <c r="F8" s="2" t="s">
        <v>12</v>
      </c>
    </row>
    <row r="9" customFormat="false" ht="15" hidden="false" customHeight="false" outlineLevel="0" collapsed="false">
      <c r="A9" s="7" t="s">
        <v>13</v>
      </c>
      <c r="B9" s="8" t="n">
        <v>18</v>
      </c>
      <c r="C9" s="9" t="n">
        <v>4000</v>
      </c>
      <c r="D9" s="10" t="n">
        <f aca="false">B9*C9</f>
        <v>72000</v>
      </c>
    </row>
    <row r="10" customFormat="false" ht="15" hidden="false" customHeight="false" outlineLevel="0" collapsed="false">
      <c r="A10" s="7" t="s">
        <v>14</v>
      </c>
      <c r="B10" s="8" t="n">
        <v>7</v>
      </c>
      <c r="C10" s="9" t="n">
        <v>1500</v>
      </c>
      <c r="D10" s="10" t="n">
        <f aca="false">B10*C10</f>
        <v>10500</v>
      </c>
    </row>
    <row r="11" customFormat="false" ht="15" hidden="false" customHeight="false" outlineLevel="0" collapsed="false">
      <c r="A11" s="7" t="s">
        <v>15</v>
      </c>
      <c r="B11" s="8" t="n">
        <v>10</v>
      </c>
      <c r="C11" s="9" t="n">
        <v>0</v>
      </c>
      <c r="D11" s="10" t="n">
        <f aca="false">B11*C11</f>
        <v>0</v>
      </c>
      <c r="F11" s="2" t="s">
        <v>16</v>
      </c>
    </row>
    <row r="12" customFormat="false" ht="15" hidden="false" customHeight="false" outlineLevel="0" collapsed="false">
      <c r="A12" s="11" t="s">
        <v>17</v>
      </c>
      <c r="B12" s="12"/>
      <c r="C12" s="12"/>
      <c r="D12" s="13" t="n">
        <f aca="false">SUM(D6:D11)</f>
        <v>466100</v>
      </c>
      <c r="F12" s="2" t="str">
        <f aca="false">" Продано билетов: "&amp;SUM(B6:B11)&amp;" шт, из них платных "&amp;SUM(B6:B10)&amp;" шт"</f>
        <v> Продано билетов: 202 шт, из них платных 192 шт</v>
      </c>
    </row>
    <row r="14" customFormat="false" ht="15" hidden="false" customHeight="false" outlineLevel="0" collapsed="false">
      <c r="A14" s="5" t="s">
        <v>18</v>
      </c>
      <c r="B14" s="6"/>
      <c r="C14" s="6"/>
      <c r="D14" s="6"/>
    </row>
    <row r="15" customFormat="false" ht="15" hidden="false" customHeight="false" outlineLevel="0" collapsed="false">
      <c r="A15" s="7" t="s">
        <v>19</v>
      </c>
      <c r="C15" s="14" t="n">
        <v>0.06</v>
      </c>
      <c r="D15" s="10" t="n">
        <f aca="false">-$D$12*C15</f>
        <v>-27966</v>
      </c>
    </row>
    <row r="16" customFormat="false" ht="15" hidden="false" customHeight="false" outlineLevel="0" collapsed="false">
      <c r="A16" s="7" t="s">
        <v>20</v>
      </c>
      <c r="C16" s="14" t="n">
        <v>0.05</v>
      </c>
      <c r="D16" s="10" t="n">
        <f aca="false">-$D$12*C16</f>
        <v>-23305</v>
      </c>
      <c r="F16" s="2" t="s">
        <v>21</v>
      </c>
    </row>
    <row r="17" customFormat="false" ht="15" hidden="false" customHeight="false" outlineLevel="0" collapsed="false">
      <c r="A17" s="7" t="s">
        <v>22</v>
      </c>
      <c r="C17" s="14" t="n">
        <v>0.08</v>
      </c>
      <c r="D17" s="10" t="n">
        <f aca="false">-$D$12*C17</f>
        <v>-37288</v>
      </c>
    </row>
    <row r="19" customFormat="false" ht="15" hidden="false" customHeight="false" outlineLevel="0" collapsed="false">
      <c r="A19" s="5" t="s">
        <v>23</v>
      </c>
      <c r="B19" s="6"/>
      <c r="C19" s="6"/>
      <c r="D19" s="6"/>
    </row>
    <row r="20" customFormat="false" ht="15" hidden="false" customHeight="false" outlineLevel="0" collapsed="false">
      <c r="A20" s="7" t="s">
        <v>24</v>
      </c>
      <c r="B20" s="8" t="n">
        <v>1</v>
      </c>
      <c r="C20" s="9" t="n">
        <v>20000</v>
      </c>
      <c r="D20" s="10" t="n">
        <f aca="false">-B20*C20</f>
        <v>-20000</v>
      </c>
    </row>
    <row r="21" customFormat="false" ht="15" hidden="false" customHeight="false" outlineLevel="0" collapsed="false">
      <c r="A21" s="7" t="s">
        <v>25</v>
      </c>
      <c r="B21" s="8" t="n">
        <v>1</v>
      </c>
      <c r="C21" s="9" t="n">
        <v>25000</v>
      </c>
      <c r="D21" s="10" t="n">
        <f aca="false">-B21*C21</f>
        <v>-25000</v>
      </c>
    </row>
    <row r="22" customFormat="false" ht="15" hidden="false" customHeight="false" outlineLevel="0" collapsed="false">
      <c r="A22" s="7" t="s">
        <v>26</v>
      </c>
      <c r="B22" s="8" t="n">
        <v>1</v>
      </c>
      <c r="C22" s="9" t="n">
        <v>8000</v>
      </c>
      <c r="D22" s="10" t="n">
        <f aca="false">-B22*C22</f>
        <v>-8000</v>
      </c>
    </row>
    <row r="23" customFormat="false" ht="15" hidden="false" customHeight="false" outlineLevel="0" collapsed="false">
      <c r="A23" s="7" t="s">
        <v>27</v>
      </c>
      <c r="B23" s="8" t="n">
        <v>1</v>
      </c>
      <c r="C23" s="9" t="n">
        <v>10000</v>
      </c>
      <c r="D23" s="10" t="n">
        <f aca="false">-B23*C23</f>
        <v>-10000</v>
      </c>
    </row>
    <row r="24" customFormat="false" ht="15" hidden="false" customHeight="false" outlineLevel="0" collapsed="false">
      <c r="A24" s="7" t="s">
        <v>28</v>
      </c>
      <c r="B24" s="8" t="n">
        <v>1</v>
      </c>
      <c r="C24" s="9" t="n">
        <v>15000</v>
      </c>
      <c r="D24" s="10" t="n">
        <f aca="false">-B24*C24</f>
        <v>-15000</v>
      </c>
    </row>
    <row r="25" customFormat="false" ht="15" hidden="false" customHeight="false" outlineLevel="0" collapsed="false">
      <c r="A25" s="7" t="s">
        <v>29</v>
      </c>
      <c r="B25" s="8" t="n">
        <v>0</v>
      </c>
      <c r="C25" s="9" t="n">
        <v>12000</v>
      </c>
      <c r="D25" s="10" t="n">
        <f aca="false">-B25*C25</f>
        <v>-0</v>
      </c>
      <c r="F25" s="2" t="s">
        <v>30</v>
      </c>
    </row>
    <row r="26" customFormat="false" ht="15" hidden="false" customHeight="false" outlineLevel="0" collapsed="false">
      <c r="A26" s="7" t="s">
        <v>31</v>
      </c>
      <c r="B26" s="8" t="n">
        <v>1</v>
      </c>
      <c r="C26" s="9" t="n">
        <v>15000</v>
      </c>
      <c r="D26" s="10" t="n">
        <f aca="false">-B26*C26</f>
        <v>-15000</v>
      </c>
    </row>
    <row r="27" customFormat="false" ht="15" hidden="false" customHeight="false" outlineLevel="0" collapsed="false">
      <c r="A27" s="7" t="s">
        <v>32</v>
      </c>
      <c r="B27" s="8" t="n">
        <v>1</v>
      </c>
      <c r="C27" s="9" t="n">
        <v>8000</v>
      </c>
      <c r="D27" s="10" t="n">
        <f aca="false">-B27*C27</f>
        <v>-8000</v>
      </c>
    </row>
    <row r="28" customFormat="false" ht="15" hidden="false" customHeight="false" outlineLevel="0" collapsed="false">
      <c r="A28" s="7" t="s">
        <v>33</v>
      </c>
      <c r="B28" s="8" t="n">
        <v>0</v>
      </c>
      <c r="C28" s="9" t="n">
        <v>20000</v>
      </c>
      <c r="D28" s="10" t="n">
        <f aca="false">-B28*C28</f>
        <v>-0</v>
      </c>
      <c r="F28" s="2" t="s">
        <v>34</v>
      </c>
    </row>
    <row r="29" customFormat="false" ht="15" hidden="false" customHeight="false" outlineLevel="0" collapsed="false">
      <c r="A29" s="7" t="s">
        <v>35</v>
      </c>
      <c r="B29" s="8" t="n">
        <v>0</v>
      </c>
      <c r="C29" s="9" t="n">
        <v>18000</v>
      </c>
      <c r="D29" s="10" t="n">
        <f aca="false">-B29*C29</f>
        <v>-0</v>
      </c>
      <c r="F29" s="2" t="s">
        <v>36</v>
      </c>
    </row>
    <row r="30" customFormat="false" ht="15" hidden="false" customHeight="false" outlineLevel="0" collapsed="false">
      <c r="A30" s="7" t="s">
        <v>37</v>
      </c>
      <c r="B30" s="8" t="n">
        <v>1</v>
      </c>
      <c r="C30" s="9" t="n">
        <v>3000</v>
      </c>
      <c r="D30" s="10" t="n">
        <f aca="false">-B30*C30</f>
        <v>-3000</v>
      </c>
    </row>
    <row r="31" customFormat="false" ht="15" hidden="false" customHeight="false" outlineLevel="0" collapsed="false">
      <c r="A31" s="7" t="s">
        <v>38</v>
      </c>
      <c r="B31" s="8" t="n">
        <v>3</v>
      </c>
      <c r="C31" s="9" t="n">
        <v>3500</v>
      </c>
      <c r="D31" s="10" t="n">
        <f aca="false">-B31*C31</f>
        <v>-10500</v>
      </c>
    </row>
    <row r="32" customFormat="false" ht="15" hidden="false" customHeight="false" outlineLevel="0" collapsed="false">
      <c r="A32" s="7" t="s">
        <v>39</v>
      </c>
      <c r="B32" s="8" t="n">
        <v>3</v>
      </c>
      <c r="C32" s="9" t="n">
        <v>4000</v>
      </c>
      <c r="D32" s="10" t="n">
        <f aca="false">-B32*C32</f>
        <v>-12000</v>
      </c>
      <c r="F32" s="2" t="s">
        <v>40</v>
      </c>
    </row>
    <row r="33" customFormat="false" ht="15" hidden="false" customHeight="false" outlineLevel="0" collapsed="false">
      <c r="A33" s="7" t="s">
        <v>41</v>
      </c>
      <c r="B33" s="8" t="n">
        <v>3</v>
      </c>
      <c r="C33" s="9" t="n">
        <v>3000</v>
      </c>
      <c r="D33" s="10" t="n">
        <f aca="false">-B33*C33</f>
        <v>-9000</v>
      </c>
    </row>
    <row r="34" customFormat="false" ht="15" hidden="false" customHeight="false" outlineLevel="0" collapsed="false">
      <c r="A34" s="7" t="s">
        <v>42</v>
      </c>
      <c r="B34" s="8" t="n">
        <v>2</v>
      </c>
      <c r="C34" s="9" t="n">
        <v>3000</v>
      </c>
      <c r="D34" s="10" t="n">
        <f aca="false">-B34*C34</f>
        <v>-6000</v>
      </c>
    </row>
    <row r="35" customFormat="false" ht="15" hidden="false" customHeight="false" outlineLevel="0" collapsed="false">
      <c r="A35" s="7" t="s">
        <v>43</v>
      </c>
      <c r="B35" s="8" t="n">
        <v>1</v>
      </c>
      <c r="C35" s="9" t="n">
        <v>5000</v>
      </c>
      <c r="D35" s="10" t="n">
        <f aca="false">-B35*C35</f>
        <v>-5000</v>
      </c>
    </row>
    <row r="36" customFormat="false" ht="15" hidden="false" customHeight="false" outlineLevel="0" collapsed="false">
      <c r="A36" s="7" t="s">
        <v>44</v>
      </c>
      <c r="B36" s="8" t="n">
        <v>1</v>
      </c>
      <c r="C36" s="9" t="n">
        <v>8000</v>
      </c>
      <c r="D36" s="10" t="n">
        <f aca="false">-B36*C36</f>
        <v>-8000</v>
      </c>
    </row>
    <row r="37" customFormat="false" ht="15" hidden="false" customHeight="false" outlineLevel="0" collapsed="false">
      <c r="A37" s="11" t="s">
        <v>45</v>
      </c>
      <c r="B37" s="12"/>
      <c r="C37" s="12"/>
      <c r="D37" s="13" t="n">
        <f aca="false">SUM(D20:D36)</f>
        <v>-154500</v>
      </c>
    </row>
    <row r="39" customFormat="false" ht="21.75" hidden="false" customHeight="true" outlineLevel="0" collapsed="false">
      <c r="A39" s="15" t="s">
        <v>46</v>
      </c>
      <c r="B39" s="16"/>
      <c r="C39" s="16"/>
      <c r="D39" s="17" t="n">
        <f aca="false">$D$12+$D$15+$D$16+$D$17+$D$37</f>
        <v>223041</v>
      </c>
      <c r="F39" s="2" t="s">
        <v>47</v>
      </c>
    </row>
    <row r="41" customFormat="false" ht="15" hidden="false" customHeight="false" outlineLevel="0" collapsed="false">
      <c r="A41" s="5" t="s">
        <v>48</v>
      </c>
      <c r="B41" s="6"/>
      <c r="C41" s="6"/>
      <c r="D41" s="6"/>
    </row>
    <row r="42" customFormat="false" ht="15" hidden="false" customHeight="false" outlineLevel="0" collapsed="false">
      <c r="A42" s="7" t="s">
        <v>49</v>
      </c>
      <c r="C42" s="14" t="n">
        <v>0.5</v>
      </c>
      <c r="D42" s="10" t="n">
        <f aca="false">-$D$39*C42</f>
        <v>-111520.5</v>
      </c>
    </row>
    <row r="43" customFormat="false" ht="21.75" hidden="false" customHeight="true" outlineLevel="0" collapsed="false">
      <c r="A43" s="15" t="s">
        <v>50</v>
      </c>
      <c r="B43" s="16"/>
      <c r="C43" s="16"/>
      <c r="D43" s="17" t="n">
        <f aca="false">$D$39+$D$42</f>
        <v>111520.5</v>
      </c>
      <c r="F43" s="2" t="s">
        <v>51</v>
      </c>
    </row>
    <row r="45" customFormat="false" ht="15" hidden="false" customHeight="false" outlineLevel="0" collapsed="false">
      <c r="A45" s="5" t="s">
        <v>52</v>
      </c>
      <c r="B45" s="6"/>
      <c r="C45" s="6"/>
      <c r="D45" s="6"/>
    </row>
    <row r="46" customFormat="false" ht="15" hidden="false" customHeight="false" outlineLevel="0" collapsed="false">
      <c r="A46" s="7" t="s">
        <v>53</v>
      </c>
      <c r="C46" s="14" t="n">
        <v>0.07</v>
      </c>
      <c r="D46" s="10" t="n">
        <f aca="false">-MAX(0,$D$43)*C46</f>
        <v>-7806.435</v>
      </c>
    </row>
    <row r="47" customFormat="false" ht="15" hidden="false" customHeight="false" outlineLevel="0" collapsed="false">
      <c r="A47" s="7" t="s">
        <v>54</v>
      </c>
      <c r="C47" s="14" t="n">
        <v>0.01</v>
      </c>
      <c r="D47" s="10" t="n">
        <f aca="false">-MAX(0,$D$43)*C47</f>
        <v>-1115.205</v>
      </c>
    </row>
    <row r="49" customFormat="false" ht="15" hidden="false" customHeight="false" outlineLevel="0" collapsed="false">
      <c r="A49" s="5" t="s">
        <v>55</v>
      </c>
      <c r="B49" s="6"/>
      <c r="C49" s="6"/>
      <c r="D49" s="6"/>
    </row>
    <row r="50" customFormat="false" ht="15" hidden="false" customHeight="false" outlineLevel="0" collapsed="false">
      <c r="A50" s="7" t="s">
        <v>56</v>
      </c>
      <c r="B50" s="8" t="n">
        <v>1</v>
      </c>
      <c r="C50" s="9" t="n">
        <v>25000</v>
      </c>
      <c r="D50" s="10" t="n">
        <f aca="false">-B50*C50</f>
        <v>-25000</v>
      </c>
    </row>
    <row r="51" customFormat="false" ht="15" hidden="false" customHeight="false" outlineLevel="0" collapsed="false">
      <c r="A51" s="7" t="s">
        <v>57</v>
      </c>
      <c r="B51" s="8" t="n">
        <v>1</v>
      </c>
      <c r="C51" s="9" t="n">
        <v>8000</v>
      </c>
      <c r="D51" s="10" t="n">
        <f aca="false">-B51*C51</f>
        <v>-8000</v>
      </c>
    </row>
    <row r="52" customFormat="false" ht="15" hidden="false" customHeight="false" outlineLevel="0" collapsed="false">
      <c r="A52" s="7" t="s">
        <v>58</v>
      </c>
      <c r="B52" s="8" t="n">
        <v>1</v>
      </c>
      <c r="C52" s="9" t="n">
        <v>8000</v>
      </c>
      <c r="D52" s="10" t="n">
        <f aca="false">-B52*C52</f>
        <v>-8000</v>
      </c>
    </row>
    <row r="53" customFormat="false" ht="15" hidden="false" customHeight="false" outlineLevel="0" collapsed="false">
      <c r="A53" s="7" t="s">
        <v>59</v>
      </c>
      <c r="B53" s="8" t="n">
        <v>1</v>
      </c>
      <c r="C53" s="9" t="n">
        <v>8000</v>
      </c>
      <c r="D53" s="10" t="n">
        <f aca="false">-B53*C53</f>
        <v>-8000</v>
      </c>
    </row>
    <row r="54" customFormat="false" ht="15" hidden="false" customHeight="false" outlineLevel="0" collapsed="false">
      <c r="A54" s="7" t="s">
        <v>60</v>
      </c>
      <c r="B54" s="8" t="n">
        <v>0</v>
      </c>
      <c r="C54" s="9" t="n">
        <v>8000</v>
      </c>
      <c r="D54" s="10" t="n">
        <f aca="false">-B54*C54</f>
        <v>-0</v>
      </c>
    </row>
    <row r="55" customFormat="false" ht="15" hidden="false" customHeight="false" outlineLevel="0" collapsed="false">
      <c r="A55" s="7" t="s">
        <v>61</v>
      </c>
      <c r="B55" s="8" t="n">
        <v>0</v>
      </c>
      <c r="C55" s="9" t="n">
        <v>10000</v>
      </c>
      <c r="D55" s="10" t="n">
        <f aca="false">-B55*C55</f>
        <v>-0</v>
      </c>
      <c r="F55" s="2" t="s">
        <v>62</v>
      </c>
    </row>
    <row r="56" customFormat="false" ht="15" hidden="false" customHeight="false" outlineLevel="0" collapsed="false">
      <c r="A56" s="11" t="s">
        <v>63</v>
      </c>
      <c r="B56" s="12"/>
      <c r="C56" s="12"/>
      <c r="D56" s="13" t="n">
        <f aca="false">SUM(D50:D55)</f>
        <v>-49000</v>
      </c>
    </row>
    <row r="58" customFormat="false" ht="15" hidden="false" customHeight="false" outlineLevel="0" collapsed="false">
      <c r="A58" s="5" t="s">
        <v>64</v>
      </c>
      <c r="B58" s="6"/>
      <c r="C58" s="6"/>
      <c r="D58" s="6"/>
    </row>
    <row r="59" customFormat="false" ht="15" hidden="false" customHeight="false" outlineLevel="0" collapsed="false">
      <c r="A59" s="7" t="s">
        <v>65</v>
      </c>
      <c r="B59" s="8" t="n">
        <v>1</v>
      </c>
      <c r="C59" s="9" t="n">
        <v>20000</v>
      </c>
      <c r="D59" s="10" t="n">
        <f aca="false">-B59*C59</f>
        <v>-20000</v>
      </c>
    </row>
    <row r="60" customFormat="false" ht="15" hidden="false" customHeight="false" outlineLevel="0" collapsed="false">
      <c r="A60" s="7" t="s">
        <v>66</v>
      </c>
      <c r="B60" s="8" t="n">
        <v>1</v>
      </c>
      <c r="C60" s="9" t="n">
        <v>15000</v>
      </c>
      <c r="D60" s="10" t="n">
        <f aca="false">-B60*C60</f>
        <v>-15000</v>
      </c>
    </row>
    <row r="61" customFormat="false" ht="15" hidden="false" customHeight="false" outlineLevel="0" collapsed="false">
      <c r="A61" s="7" t="s">
        <v>67</v>
      </c>
      <c r="B61" s="8" t="n">
        <v>1</v>
      </c>
      <c r="C61" s="9" t="n">
        <v>10000</v>
      </c>
      <c r="D61" s="10" t="n">
        <f aca="false">-B61*C61</f>
        <v>-10000</v>
      </c>
      <c r="F61" s="2" t="s">
        <v>68</v>
      </c>
    </row>
    <row r="62" customFormat="false" ht="15" hidden="false" customHeight="false" outlineLevel="0" collapsed="false">
      <c r="A62" s="7" t="s">
        <v>69</v>
      </c>
      <c r="B62" s="8" t="n">
        <v>1</v>
      </c>
      <c r="C62" s="9" t="n">
        <v>5000</v>
      </c>
      <c r="D62" s="10" t="n">
        <f aca="false">-B62*C62</f>
        <v>-5000</v>
      </c>
    </row>
    <row r="63" customFormat="false" ht="15" hidden="false" customHeight="false" outlineLevel="0" collapsed="false">
      <c r="A63" s="7" t="s">
        <v>70</v>
      </c>
      <c r="B63" s="8" t="n">
        <v>1</v>
      </c>
      <c r="C63" s="9" t="n">
        <v>0</v>
      </c>
      <c r="D63" s="10" t="n">
        <f aca="false">-B63*C63</f>
        <v>-0</v>
      </c>
      <c r="F63" s="2" t="s">
        <v>71</v>
      </c>
    </row>
    <row r="64" customFormat="false" ht="15" hidden="false" customHeight="false" outlineLevel="0" collapsed="false">
      <c r="A64" s="7" t="s">
        <v>72</v>
      </c>
      <c r="B64" s="8" t="n">
        <v>1</v>
      </c>
      <c r="C64" s="9" t="n">
        <v>3000</v>
      </c>
      <c r="D64" s="10" t="n">
        <f aca="false">-B64*C64</f>
        <v>-3000</v>
      </c>
    </row>
    <row r="65" customFormat="false" ht="15" hidden="false" customHeight="false" outlineLevel="0" collapsed="false">
      <c r="A65" s="7" t="s">
        <v>73</v>
      </c>
      <c r="B65" s="8" t="n">
        <v>1</v>
      </c>
      <c r="C65" s="9" t="n">
        <v>1000</v>
      </c>
      <c r="D65" s="10" t="n">
        <f aca="false">-B65*C65</f>
        <v>-1000</v>
      </c>
      <c r="F65" s="2" t="s">
        <v>74</v>
      </c>
    </row>
    <row r="66" customFormat="false" ht="15" hidden="false" customHeight="false" outlineLevel="0" collapsed="false">
      <c r="A66" s="7" t="s">
        <v>75</v>
      </c>
      <c r="B66" s="8" t="n">
        <v>1</v>
      </c>
      <c r="C66" s="9" t="n">
        <v>6000</v>
      </c>
      <c r="D66" s="10" t="n">
        <f aca="false">-B66*C66</f>
        <v>-6000</v>
      </c>
    </row>
    <row r="67" customFormat="false" ht="15" hidden="false" customHeight="false" outlineLevel="0" collapsed="false">
      <c r="A67" s="11" t="s">
        <v>76</v>
      </c>
      <c r="B67" s="12"/>
      <c r="C67" s="12"/>
      <c r="D67" s="13" t="n">
        <f aca="false">SUM(D59:D66)</f>
        <v>-60000</v>
      </c>
    </row>
    <row r="69" customFormat="false" ht="15" hidden="false" customHeight="false" outlineLevel="0" collapsed="false">
      <c r="A69" s="5" t="s">
        <v>77</v>
      </c>
      <c r="B69" s="6"/>
      <c r="C69" s="6"/>
      <c r="D69" s="6"/>
    </row>
    <row r="70" customFormat="false" ht="15" hidden="false" customHeight="false" outlineLevel="0" collapsed="false">
      <c r="A70" s="7" t="s">
        <v>78</v>
      </c>
      <c r="B70" s="8" t="n">
        <v>1</v>
      </c>
      <c r="C70" s="9" t="n">
        <v>12000</v>
      </c>
      <c r="D70" s="10" t="n">
        <f aca="false">-B70*C70</f>
        <v>-12000</v>
      </c>
      <c r="F70" s="2" t="s">
        <v>79</v>
      </c>
    </row>
    <row r="71" customFormat="false" ht="15" hidden="false" customHeight="false" outlineLevel="0" collapsed="false">
      <c r="A71" s="7" t="s">
        <v>80</v>
      </c>
      <c r="B71" s="8" t="n">
        <v>1</v>
      </c>
      <c r="C71" s="9" t="n">
        <v>5000</v>
      </c>
      <c r="D71" s="10" t="n">
        <f aca="false">-B71*C71</f>
        <v>-5000</v>
      </c>
    </row>
    <row r="72" customFormat="false" ht="15" hidden="false" customHeight="false" outlineLevel="0" collapsed="false">
      <c r="A72" s="7" t="s">
        <v>81</v>
      </c>
      <c r="B72" s="8" t="n">
        <v>0</v>
      </c>
      <c r="C72" s="9" t="n">
        <v>15000</v>
      </c>
      <c r="D72" s="10" t="n">
        <f aca="false">-B72*C72</f>
        <v>-0</v>
      </c>
    </row>
    <row r="73" customFormat="false" ht="15" hidden="false" customHeight="false" outlineLevel="0" collapsed="false">
      <c r="A73" s="7" t="s">
        <v>82</v>
      </c>
      <c r="B73" s="8" t="n">
        <v>2</v>
      </c>
      <c r="C73" s="9" t="n">
        <v>6000</v>
      </c>
      <c r="D73" s="10" t="n">
        <f aca="false">-B73*C73</f>
        <v>-12000</v>
      </c>
    </row>
    <row r="74" customFormat="false" ht="15" hidden="false" customHeight="false" outlineLevel="0" collapsed="false">
      <c r="A74" s="7" t="s">
        <v>83</v>
      </c>
      <c r="B74" s="8" t="n">
        <v>2</v>
      </c>
      <c r="C74" s="9" t="n">
        <v>6000</v>
      </c>
      <c r="D74" s="10" t="n">
        <f aca="false">-B74*C74</f>
        <v>-12000</v>
      </c>
    </row>
    <row r="75" customFormat="false" ht="15" hidden="false" customHeight="false" outlineLevel="0" collapsed="false">
      <c r="A75" s="7" t="s">
        <v>84</v>
      </c>
      <c r="B75" s="8" t="n">
        <v>0</v>
      </c>
      <c r="C75" s="9" t="n">
        <v>25000</v>
      </c>
      <c r="D75" s="10" t="n">
        <f aca="false">-B75*C75</f>
        <v>-0</v>
      </c>
      <c r="F75" s="2" t="s">
        <v>85</v>
      </c>
    </row>
    <row r="76" customFormat="false" ht="15" hidden="false" customHeight="false" outlineLevel="0" collapsed="false">
      <c r="A76" s="7" t="s">
        <v>86</v>
      </c>
      <c r="B76" s="8" t="n">
        <v>15</v>
      </c>
      <c r="C76" s="9" t="n">
        <v>700</v>
      </c>
      <c r="D76" s="10" t="n">
        <f aca="false">-B76*C76</f>
        <v>-10500</v>
      </c>
      <c r="F76" s="2" t="s">
        <v>87</v>
      </c>
    </row>
    <row r="77" customFormat="false" ht="15" hidden="false" customHeight="false" outlineLevel="0" collapsed="false">
      <c r="A77" s="7" t="s">
        <v>88</v>
      </c>
      <c r="B77" s="8" t="n">
        <v>1</v>
      </c>
      <c r="C77" s="9" t="n">
        <v>12000</v>
      </c>
      <c r="D77" s="10" t="n">
        <f aca="false">-B77*C77</f>
        <v>-12000</v>
      </c>
    </row>
    <row r="78" customFormat="false" ht="15" hidden="false" customHeight="false" outlineLevel="0" collapsed="false">
      <c r="A78" s="7" t="s">
        <v>89</v>
      </c>
      <c r="B78" s="8" t="n">
        <v>0</v>
      </c>
      <c r="C78" s="9" t="n">
        <v>25000</v>
      </c>
      <c r="D78" s="10" t="n">
        <f aca="false">-B78*C78</f>
        <v>-0</v>
      </c>
    </row>
    <row r="79" customFormat="false" ht="15" hidden="false" customHeight="false" outlineLevel="0" collapsed="false">
      <c r="A79" s="7" t="s">
        <v>90</v>
      </c>
      <c r="B79" s="8" t="n">
        <v>1</v>
      </c>
      <c r="C79" s="9" t="n">
        <v>6000</v>
      </c>
      <c r="D79" s="10" t="n">
        <f aca="false">-B79*C79</f>
        <v>-6000</v>
      </c>
      <c r="F79" s="2" t="s">
        <v>91</v>
      </c>
    </row>
    <row r="80" customFormat="false" ht="15" hidden="false" customHeight="false" outlineLevel="0" collapsed="false">
      <c r="A80" s="7" t="s">
        <v>92</v>
      </c>
      <c r="C80" s="14" t="n">
        <v>0.1</v>
      </c>
      <c r="D80" s="10" t="n">
        <f aca="false">--SUM(D70:D79)*C80</f>
        <v>-6950</v>
      </c>
    </row>
    <row r="81" customFormat="false" ht="15" hidden="false" customHeight="false" outlineLevel="0" collapsed="false">
      <c r="A81" s="11" t="s">
        <v>93</v>
      </c>
      <c r="B81" s="12"/>
      <c r="C81" s="12"/>
      <c r="D81" s="13" t="n">
        <f aca="false">SUM(D70:D79)+D80</f>
        <v>-76450</v>
      </c>
    </row>
    <row r="83" customFormat="false" ht="27.75" hidden="false" customHeight="true" outlineLevel="0" collapsed="false">
      <c r="A83" s="18" t="s">
        <v>94</v>
      </c>
      <c r="B83" s="16"/>
      <c r="C83" s="16"/>
      <c r="D83" s="19" t="n">
        <f aca="false">$D$43+$D$46+$D$47+$D$56+$D$67+$D$81</f>
        <v>-82851.14</v>
      </c>
    </row>
    <row r="85" customFormat="false" ht="15" hidden="false" customHeight="false" outlineLevel="0" collapsed="false">
      <c r="A85" s="5" t="s">
        <v>95</v>
      </c>
      <c r="B85" s="6"/>
      <c r="C85" s="6"/>
      <c r="D85" s="6"/>
    </row>
    <row r="86" customFormat="false" ht="15" hidden="false" customHeight="false" outlineLevel="0" collapsed="false">
      <c r="A86" s="7" t="s">
        <v>96</v>
      </c>
      <c r="D86" s="20" t="n">
        <v>300</v>
      </c>
    </row>
    <row r="87" customFormat="false" ht="15" hidden="false" customHeight="false" outlineLevel="0" collapsed="false">
      <c r="A87" s="7" t="s">
        <v>97</v>
      </c>
      <c r="D87" s="10" t="n">
        <f aca="false">IFERROR($D$12/SUM(B6:B10),0)</f>
        <v>2427.60416666667</v>
      </c>
    </row>
    <row r="88" customFormat="false" ht="15" hidden="false" customHeight="false" outlineLevel="0" collapsed="false">
      <c r="A88" s="21" t="s">
        <v>98</v>
      </c>
      <c r="D88" s="22" t="n">
        <f aca="false">IFERROR((-$D$37+(-$D$56-$D$67-$D$81)/((1-$C$46-$C$47)*(1-$C$42)))/(1-$C$15-$C$16-$C$17),0)</f>
        <v>688459.47396672</v>
      </c>
    </row>
    <row r="89" customFormat="false" ht="15" hidden="false" customHeight="false" outlineLevel="0" collapsed="false">
      <c r="A89" s="21" t="s">
        <v>99</v>
      </c>
      <c r="D89" s="23" t="n">
        <f aca="false">IFERROR(ROUNDUP($D$88/$D$87,0),0)</f>
        <v>284</v>
      </c>
    </row>
    <row r="90" customFormat="false" ht="15" hidden="false" customHeight="false" outlineLevel="0" collapsed="false">
      <c r="A90" s="21" t="s">
        <v>100</v>
      </c>
      <c r="D90" s="24" t="n">
        <f aca="false">IFERROR(($D$89+SUMIF(C6:C11,0,B6:B11))/$D$86,0)</f>
        <v>0.98</v>
      </c>
      <c r="F90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2026-09-05T17:00:26Z</dcterms:created>
  <dc:creator>openpyxl</dc:creator>
  <dc:description/>
  <dc:language>en-US</dc:language>
  <cp:lastModifiedBy/>
  <dcterms:modified xsi:type="dcterms:W3CDTF">2026-09-05T17:00:26Z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