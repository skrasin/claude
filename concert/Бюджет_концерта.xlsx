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ашборд" sheetId="1" state="visible" r:id="rId3"/>
    <sheet name="Вводные" sheetId="2" state="visible" r:id="rId4"/>
    <sheet name="Билеты" sheetId="3" state="visible" r:id="rId5"/>
    <sheet name="Технические" sheetId="4" state="visible" r:id="rId6"/>
    <sheet name="Гонорары" sheetId="5" state="visible" r:id="rId7"/>
    <sheet name="Прочие" sheetId="6" state="visible" r:id="rId8"/>
    <sheet name="Маркетинг" sheetId="7" state="visible" r:id="rId9"/>
    <sheet name="Экономика" sheetId="8" state="visible" r:id="rId10"/>
    <sheet name="Сценарии" sheetId="9" state="visible" r:id="rId11"/>
    <sheet name="Чувствительность" sheetId="10" state="visible" r:id="rId12"/>
    <sheet name="Варианты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9" authorId="0">
      <text>
        <r>
          <rPr>
            <sz val="10"/>
            <rFont val="Arial"/>
            <family val="2"/>
          </rPr>
          <t xml:space="preserve">Ставка 8% — по вашим условиям. Базовый тариф РАО для концертов обычно 5%; если в вашем договоре 8%, значит в него, вероятно, входят смежные права (ВОИС) или это согласованная повышенная ставка. Стоит проверить в договоре — разница в 3 п.п. от валового сбора это заметные деньги.</t>
        </r>
      </text>
    </comment>
  </commentList>
</comments>
</file>

<file path=xl/sharedStrings.xml><?xml version="1.0" encoding="utf-8"?>
<sst xmlns="http://schemas.openxmlformats.org/spreadsheetml/2006/main" count="476" uniqueCount="391">
  <si>
    <t xml:space="preserve">КОНЦЕРТ: ИТОГОВАЯ ЭКОНОМИКА</t>
  </si>
  <si>
    <t xml:space="preserve">Один экран с главными цифрами. Всё пересчитывается автоматически — меняйте вводные на листах «Вводные», «Билеты», «Технические», «Гонорары», «Маркетинг», «Прочие».</t>
  </si>
  <si>
    <t xml:space="preserve">Проект</t>
  </si>
  <si>
    <t xml:space="preserve">Дата / площадка</t>
  </si>
  <si>
    <t xml:space="preserve">ЭТАП 1 — ДО РАЗДЕЛА ПРИБЫЛИ</t>
  </si>
  <si>
    <t xml:space="preserve">Валовой сбор</t>
  </si>
  <si>
    <t xml:space="preserve">Продано билетов, шт</t>
  </si>
  <si>
    <t xml:space="preserve">Налоги УСН 6%</t>
  </si>
  <si>
    <t xml:space="preserve">Отчисления в РАО 8%</t>
  </si>
  <si>
    <t xml:space="preserve">Технические расходы</t>
  </si>
  <si>
    <t xml:space="preserve">Средняя цена платного билета</t>
  </si>
  <si>
    <t xml:space="preserve">ПРИБЫЛЬ (делится пополам)</t>
  </si>
  <si>
    <t xml:space="preserve">ПРИБЫЛЬ ОРГАНИЗАТОРА (50%)</t>
  </si>
  <si>
    <t xml:space="preserve">ЭТАП 2 — РАСХОДЫ ИЗ ПРИБЫЛИ ОРГАНИЗАТОРА</t>
  </si>
  <si>
    <t xml:space="preserve">Налоги 7%</t>
  </si>
  <si>
    <t xml:space="preserve">Банковские комиссии 1%</t>
  </si>
  <si>
    <t xml:space="preserve">Гонорары артистам</t>
  </si>
  <si>
    <t xml:space="preserve">Маркетинг и PR</t>
  </si>
  <si>
    <t xml:space="preserve">Прочие расходы</t>
  </si>
  <si>
    <t xml:space="preserve">Итого расходов этапа 2</t>
  </si>
  <si>
    <t xml:space="preserve">ЧИСТЫЙ ДОХОД ОРГАНИЗАТОРА</t>
  </si>
  <si>
    <t xml:space="preserve">Рентабельность к сбору</t>
  </si>
  <si>
    <t xml:space="preserve">УСТОЙЧИВОСТЬ ПРОЕКТА</t>
  </si>
  <si>
    <t xml:space="preserve">Валовой сбор для выхода в ноль</t>
  </si>
  <si>
    <t xml:space="preserve">Точка безубыточности, платных билетов</t>
  </si>
  <si>
    <t xml:space="preserve">Точка безубыточности, % зала</t>
  </si>
  <si>
    <t xml:space="preserve">Запас прочности</t>
  </si>
  <si>
    <t xml:space="preserve">ВЕРДИКТ</t>
  </si>
  <si>
    <t xml:space="preserve">СЦЕНАРИИ — ЧИСТЫЙ ДОХОД ОРГАНИЗАТОРА</t>
  </si>
  <si>
    <t xml:space="preserve">Пессимистичный</t>
  </si>
  <si>
    <t xml:space="preserve">Базовый</t>
  </si>
  <si>
    <t xml:space="preserve">Оптимистичный</t>
  </si>
  <si>
    <t xml:space="preserve">Аншлаг</t>
  </si>
  <si>
    <t xml:space="preserve">← заполняемость зала</t>
  </si>
  <si>
    <t xml:space="preserve">ЧТО УТОЧНИТЬ ПЕРЕД ЗАПУСКОМ</t>
  </si>
  <si>
    <t xml:space="preserve">1. Технический райдер и смету по звуку — пришлите файлом, перенесу построчно на лист «Технические».</t>
  </si>
  <si>
    <t xml:space="preserve">2. Ставка РАО: у вас стоит 8%. Базовый тариф для концертов обычно 5% — сверьте с договором, разница в 3 п.п. от сбора это заметные деньги.</t>
  </si>
  <si>
    <t xml:space="preserve">3. Кто получает деньги от билетов физически — вы или площадка. От этого зависит, у кого возникает доход и кто платит УСН 6% на этапе 1.</t>
  </si>
  <si>
    <t xml:space="preserve">4. Комиссия билетного оператора: если она удерживается из кассы, её место на этапе 1, а не в прочих расходах. Сейчас стоит 0.</t>
  </si>
  <si>
    <t xml:space="preserve">5. Что именно входит в «техническое обеспечение площадки» по договору и кто это оплачивает.</t>
  </si>
  <si>
    <t xml:space="preserve">6. Делится ли убыток пополам, или он только ваш. Сейчас в модели — только ваш.</t>
  </si>
  <si>
    <t xml:space="preserve">7. Можно ли вычитать гонорары и маркетинг ДО раздела прибыли. Это главный рычаг — переключатели на листе «Вводные».</t>
  </si>
  <si>
    <t xml:space="preserve">ВВОДНЫЕ ДАННЫЕ И СТАВКИ</t>
  </si>
  <si>
    <t xml:space="preserve">Синие ячейки на жёлтом фоне — вводные, их можно менять. Чёрные — формулы. Зелёные — ссылки на другие листы.</t>
  </si>
  <si>
    <t xml:space="preserve">1. ПАРАМЕТРЫ СОБЫТИЯ</t>
  </si>
  <si>
    <t xml:space="preserve">Название концерта</t>
  </si>
  <si>
    <t xml:space="preserve">— укажите название —</t>
  </si>
  <si>
    <t xml:space="preserve">Артист / состав</t>
  </si>
  <si>
    <t xml:space="preserve">— укажите —</t>
  </si>
  <si>
    <t xml:space="preserve">Дата и время</t>
  </si>
  <si>
    <t xml:space="preserve">— ДД.ММ.ГГГГ, 20:00 —</t>
  </si>
  <si>
    <t xml:space="preserve">Площадка</t>
  </si>
  <si>
    <t xml:space="preserve">— клуб —</t>
  </si>
  <si>
    <t xml:space="preserve">Город</t>
  </si>
  <si>
    <t xml:space="preserve">— город —</t>
  </si>
  <si>
    <t xml:space="preserve">2. ЗАЛ И ПОСЕЩАЕМОСТЬ</t>
  </si>
  <si>
    <t xml:space="preserve">Вместимость зала, чел.</t>
  </si>
  <si>
    <t xml:space="preserve">Заполняемость — пессимистичный сценарий</t>
  </si>
  <si>
    <t xml:space="preserve">Базовый сценарий берётся с листа «Билеты» — там задана продажа по категориям</t>
  </si>
  <si>
    <t xml:space="preserve">Заполняемость — оптимистичный сценарий</t>
  </si>
  <si>
    <t xml:space="preserve">Заполняемость — аншлаг</t>
  </si>
  <si>
    <t xml:space="preserve">3. СТАВКИ ЭТАПА 1 — С ВАЛОВОГО СБОРА</t>
  </si>
  <si>
    <t xml:space="preserve">Налоги УСН, %</t>
  </si>
  <si>
    <t xml:space="preserve">Начисляется на весь валовой сбор</t>
  </si>
  <si>
    <t xml:space="preserve">Отчисления в РАО, %</t>
  </si>
  <si>
    <t xml:space="preserve">4. ТЕХНИЧЕСКИЕ РАСХОДЫ (АРЕНДА ЗВУКА И ОБЕСПЕЧЕНИЕ ПЛОЩАДКИ)</t>
  </si>
  <si>
    <t xml:space="preserve">Как считать: «Из сметы» или «Фиксированной суммой»</t>
  </si>
  <si>
    <t xml:space="preserve">Из сметы</t>
  </si>
  <si>
    <t xml:space="preserve">Пока нет точных цифр — поставьте «Фиксированной суммой» и впишите её ниже</t>
  </si>
  <si>
    <t xml:space="preserve">Фиксированная сумма технических расходов, ₽</t>
  </si>
  <si>
    <t xml:space="preserve">Используется, только если выбран режим «Фиксированной суммой»</t>
  </si>
  <si>
    <t xml:space="preserve">5. РАЗДЕЛ ПРИБЫЛИ С ПЛОЩАДКОЙ</t>
  </si>
  <si>
    <t xml:space="preserve">Доля организатора в прибыли, %</t>
  </si>
  <si>
    <t xml:space="preserve">Доля площадки в прибыли, %</t>
  </si>
  <si>
    <t xml:space="preserve">Убыток делится с площадкой? (Да/Нет)</t>
  </si>
  <si>
    <t xml:space="preserve">Нет</t>
  </si>
  <si>
    <t xml:space="preserve">Если «Нет» — весь убыток ваш, а прибыль только наполовину</t>
  </si>
  <si>
    <t xml:space="preserve">6. СТАВКИ ЭТАПА 2 — С ПРИБЫЛИ ОРГАНИЗАТОРА</t>
  </si>
  <si>
    <t xml:space="preserve">Налоги, %</t>
  </si>
  <si>
    <t xml:space="preserve">С половины прибыли, полученной от площадки</t>
  </si>
  <si>
    <t xml:space="preserve">Банковские комиссии, %</t>
  </si>
  <si>
    <t xml:space="preserve">ИТОГО ставка этапа 2, %</t>
  </si>
  <si>
    <t xml:space="preserve">7. ЧТО ВЫЧИТАТЬ ДО РАЗДЕЛА ПРИБЫЛИ (переговорный рычаг)</t>
  </si>
  <si>
    <t xml:space="preserve">По вашей схеме всё это вычитается ПОСЛЕ раздела, из вашей половины. Переключите на «Да», чтобы увидеть, как изменится экономика, если договориться вычитать эти расходы до раздела.</t>
  </si>
  <si>
    <t xml:space="preserve">Гонорары артистам вычитать до раздела?</t>
  </si>
  <si>
    <t xml:space="preserve">Маркетинг и PR вычитать до раздела?</t>
  </si>
  <si>
    <t xml:space="preserve">Прочие расходы вычитать до раздела?</t>
  </si>
  <si>
    <t xml:space="preserve">8. ПРОЧЕЕ</t>
  </si>
  <si>
    <t xml:space="preserve">Резерв на непредвиденное, % от прочих расходов</t>
  </si>
  <si>
    <t xml:space="preserve">БИЛЕТНАЯ МАТРИЦА</t>
  </si>
  <si>
    <t xml:space="preserve">Базовый сценарий строится здесь: цена, квота мест и ожидаемый процент продажи по каждой категории.</t>
  </si>
  <si>
    <t xml:space="preserve">СТРУКТУРА БИЛЕТОВ</t>
  </si>
  <si>
    <t xml:space="preserve">Категория билета</t>
  </si>
  <si>
    <t xml:space="preserve">Цена, ₽</t>
  </si>
  <si>
    <t xml:space="preserve">Квота, мест</t>
  </si>
  <si>
    <t xml:space="preserve">Ожид. продажа, %</t>
  </si>
  <si>
    <t xml:space="preserve">Продано, шт</t>
  </si>
  <si>
    <t xml:space="preserve">Валовой сбор, ₽</t>
  </si>
  <si>
    <t xml:space="preserve">Доля в сборе</t>
  </si>
  <si>
    <t xml:space="preserve">Комментарий</t>
  </si>
  <si>
    <t xml:space="preserve">Ранняя пташка (early bird)</t>
  </si>
  <si>
    <t xml:space="preserve">Первые 2 недели, ограниченная квота. Ранние деньги на маркетинг</t>
  </si>
  <si>
    <t xml:space="preserve">Стандарт (предпродажа)</t>
  </si>
  <si>
    <t xml:space="preserve">Основная квота зала</t>
  </si>
  <si>
    <t xml:space="preserve">Стандарт (на входе, в день концерта)</t>
  </si>
  <si>
    <t xml:space="preserve">Цена на входе выше — стимул покупать заранее</t>
  </si>
  <si>
    <t xml:space="preserve">Фан-зона у сцены / VIP</t>
  </si>
  <si>
    <t xml:space="preserve">Первые ряды, отдельный вход</t>
  </si>
  <si>
    <t xml:space="preserve">Льготный (студенты)</t>
  </si>
  <si>
    <t xml:space="preserve">Заполняет зал в будни</t>
  </si>
  <si>
    <t xml:space="preserve">Промо, пресс, гости артиста</t>
  </si>
  <si>
    <t xml:space="preserve">Денег не приносят, но занимают места</t>
  </si>
  <si>
    <t xml:space="preserve">ИТОГО</t>
  </si>
  <si>
    <t xml:space="preserve">КОНТРОЛЬНЫЕ ПОКАЗАТЕЛИ</t>
  </si>
  <si>
    <t xml:space="preserve">Проверка: сумма квот = вместимость зала?</t>
  </si>
  <si>
    <t xml:space="preserve">Продано билетов всего, шт</t>
  </si>
  <si>
    <t xml:space="preserve">   в том числе платных, шт</t>
  </si>
  <si>
    <t xml:space="preserve">Валовой сбор (box office), ₽</t>
  </si>
  <si>
    <t xml:space="preserve">Средняя цена платного билета, ₽</t>
  </si>
  <si>
    <t xml:space="preserve">Доход на одно место зала (yield), ₽</t>
  </si>
  <si>
    <t xml:space="preserve">Фактическая заполняемость зала, %</t>
  </si>
  <si>
    <t xml:space="preserve">Доля платных билетов от всех проходов, %</t>
  </si>
  <si>
    <t xml:space="preserve">ТЕХНИЧЕСКИЕ РАСХОДЫ: АРЕНДА ЗВУКА И ОБЕСПЕЧЕНИЕ ПЛОЩАДКИ</t>
  </si>
  <si>
    <t xml:space="preserve">Этап 1 — вычитается из валового сбора ДО раздела прибыли с площадкой. Пришлёте технический райдер — заменю строки на реальные позиции и цены.</t>
  </si>
  <si>
    <t xml:space="preserve">Статья расхода</t>
  </si>
  <si>
    <t xml:space="preserve">Кол-во</t>
  </si>
  <si>
    <t xml:space="preserve">Ед.</t>
  </si>
  <si>
    <t xml:space="preserve">Цена за ед., ₽</t>
  </si>
  <si>
    <t xml:space="preserve">Сумма, ₽</t>
  </si>
  <si>
    <t xml:space="preserve">Аренда зала (смена)</t>
  </si>
  <si>
    <t xml:space="preserve">смена</t>
  </si>
  <si>
    <t xml:space="preserve">При сделке 50/50 часто не выставляется — уточните в договоре</t>
  </si>
  <si>
    <t xml:space="preserve">Аренда звукового комплекта PA</t>
  </si>
  <si>
    <t xml:space="preserve">компл.</t>
  </si>
  <si>
    <t xml:space="preserve">Основная позиция технической сметы</t>
  </si>
  <si>
    <t xml:space="preserve">Микрофоны, радиосистемы, стойки</t>
  </si>
  <si>
    <t xml:space="preserve">Под конкретный состав почти всегда докупается</t>
  </si>
  <si>
    <t xml:space="preserve">Мониторная линия / in-ear</t>
  </si>
  <si>
    <t xml:space="preserve">Критично для качества исполнения на сцене</t>
  </si>
  <si>
    <t xml:space="preserve">Звукорежиссёр FOH</t>
  </si>
  <si>
    <t xml:space="preserve">Свой инженер — предсказуемый звук</t>
  </si>
  <si>
    <t xml:space="preserve">Мониторный инженер</t>
  </si>
  <si>
    <t xml:space="preserve">В клубе часто совмещается с FOH</t>
  </si>
  <si>
    <t xml:space="preserve">Световое оборудование</t>
  </si>
  <si>
    <t xml:space="preserve">Художник по свету / оператор</t>
  </si>
  <si>
    <t xml:space="preserve">Свет под программу, а не «дискотека по кнопке»</t>
  </si>
  <si>
    <t xml:space="preserve">Бэклайн: барабаны, усилители, клавиши</t>
  </si>
  <si>
    <t xml:space="preserve">Поставьте 1, если бэклайн привозной</t>
  </si>
  <si>
    <t xml:space="preserve">Экран, проекция, видеоконтент</t>
  </si>
  <si>
    <t xml:space="preserve">Поставьте 1, если в программе есть видеоряд</t>
  </si>
  <si>
    <t xml:space="preserve">Электрика, кабели, распределение</t>
  </si>
  <si>
    <t xml:space="preserve">Монтаж, демонтаж, погрузка</t>
  </si>
  <si>
    <t xml:space="preserve">чел.</t>
  </si>
  <si>
    <t xml:space="preserve">Разгрузка и погрузка оборудования</t>
  </si>
  <si>
    <t xml:space="preserve">Охрана</t>
  </si>
  <si>
    <t xml:space="preserve">Ориентир — 1 человек на 75–100 гостей</t>
  </si>
  <si>
    <t xml:space="preserve">Билетный контроль и гардероб</t>
  </si>
  <si>
    <t xml:space="preserve">Уборка до и после</t>
  </si>
  <si>
    <t xml:space="preserve">Дежурный медик</t>
  </si>
  <si>
    <t xml:space="preserve">Требование для массовых мероприятий</t>
  </si>
  <si>
    <t xml:space="preserve">Администратор площадки</t>
  </si>
  <si>
    <t xml:space="preserve">ГОНОРАРЫ АРТИСТАМ</t>
  </si>
  <si>
    <t xml:space="preserve">Этап 2 — по вашей схеме вычитается из половины прибыли, уже полученной организатором. Переключатель «вычитать до раздела» — на листе «Вводные».</t>
  </si>
  <si>
    <t xml:space="preserve">Артист / хедлайнер</t>
  </si>
  <si>
    <t xml:space="preserve">выступл.</t>
  </si>
  <si>
    <t xml:space="preserve">Основной гонорар по договору</t>
  </si>
  <si>
    <t xml:space="preserve">Музыкант: гитара</t>
  </si>
  <si>
    <t xml:space="preserve">Музыкант: бас</t>
  </si>
  <si>
    <t xml:space="preserve">Музыкант: барабаны</t>
  </si>
  <si>
    <t xml:space="preserve">Музыкант: клавиши</t>
  </si>
  <si>
    <t xml:space="preserve">Поставьте 1, если есть в составе</t>
  </si>
  <si>
    <t xml:space="preserve">Разогрев / support act</t>
  </si>
  <si>
    <t xml:space="preserve">Часто выступает за билеты и промо</t>
  </si>
  <si>
    <t xml:space="preserve">Ведущий / конферансье</t>
  </si>
  <si>
    <t xml:space="preserve">Налоги и взносы с гонораров</t>
  </si>
  <si>
    <t xml:space="preserve">Если музыканты не самозанятые — нагрузка ложится на вас</t>
  </si>
  <si>
    <t xml:space="preserve">ПРОЧИЕ РАСХОДЫ</t>
  </si>
  <si>
    <t xml:space="preserve">Этап 2 — вычитается из половины прибыли организатора. Резерв считается процентом от суммы строк выше.</t>
  </si>
  <si>
    <t xml:space="preserve">Комиссия билетного оператора</t>
  </si>
  <si>
    <t xml:space="preserve">ВАЖНО: если оператор удерживает её из кассы, она относится к этапу 1 — скажите, и перенесу</t>
  </si>
  <si>
    <t xml:space="preserve">Полиграфия: афиши, флаеры</t>
  </si>
  <si>
    <t xml:space="preserve">тираж</t>
  </si>
  <si>
    <t xml:space="preserve">Печать. Размещение — в бюджете маркетинга</t>
  </si>
  <si>
    <t xml:space="preserve">Бейджи, браслеты, программки</t>
  </si>
  <si>
    <t xml:space="preserve">Оформление сцены и зала, декор</t>
  </si>
  <si>
    <t xml:space="preserve">Сильно влияет на восприятие и качество контента</t>
  </si>
  <si>
    <t xml:space="preserve">Репетиции, аренда репбазы</t>
  </si>
  <si>
    <t xml:space="preserve">Транспорт оборудования</t>
  </si>
  <si>
    <t xml:space="preserve">рейс</t>
  </si>
  <si>
    <t xml:space="preserve">Туда и обратно</t>
  </si>
  <si>
    <t xml:space="preserve">Трансфер и проживание команды</t>
  </si>
  <si>
    <t xml:space="preserve">Заполните, если команда не из этого города</t>
  </si>
  <si>
    <t xml:space="preserve">Кейтеринг и райдер бэкстейджа</t>
  </si>
  <si>
    <t xml:space="preserve">По числу людей на площадке, включая техников</t>
  </si>
  <si>
    <t xml:space="preserve">Фотограф</t>
  </si>
  <si>
    <t xml:space="preserve">Контент окупается в промо следующего концерта</t>
  </si>
  <si>
    <t xml:space="preserve">Видеосъёмка концерта</t>
  </si>
  <si>
    <t xml:space="preserve">Материал для клипов и питчей площадкам</t>
  </si>
  <si>
    <t xml:space="preserve">Юридическое сопровождение</t>
  </si>
  <si>
    <t xml:space="preserve">проект</t>
  </si>
  <si>
    <t xml:space="preserve">Договоры с площадкой, артистами, лицензия РАО</t>
  </si>
  <si>
    <t xml:space="preserve">Онлайн-касса, ОФД</t>
  </si>
  <si>
    <t xml:space="preserve">Если часть билетов продаёте сами</t>
  </si>
  <si>
    <t xml:space="preserve">Страхование мероприятия</t>
  </si>
  <si>
    <t xml:space="preserve">полис</t>
  </si>
  <si>
    <t xml:space="preserve">Рекомендую при бюджете свыше 500 000 ₽</t>
  </si>
  <si>
    <t xml:space="preserve">Резерв на непредвиденное</t>
  </si>
  <si>
    <t xml:space="preserve">Ставка резерва задаётся на листе «Вводные»</t>
  </si>
  <si>
    <t xml:space="preserve">МАРКЕТИНГ И PR: БЮДЖЕТ, ВОРОНКА, СТОИМОСТЬ БИЛЕТА</t>
  </si>
  <si>
    <t xml:space="preserve">Этап 2 — вычитается из половины прибыли организатора. Каждый канал считается до билета: охват → отклик → покупка.</t>
  </si>
  <si>
    <t xml:space="preserve">КАНАЛЫ ПРОДВИЖЕНИЯ</t>
  </si>
  <si>
    <t xml:space="preserve">Канал</t>
  </si>
  <si>
    <t xml:space="preserve">Бюджет, ₽</t>
  </si>
  <si>
    <t xml:space="preserve">Прогноз охвата, чел.</t>
  </si>
  <si>
    <t xml:space="preserve">Отклик (CTR), %</t>
  </si>
  <si>
    <t xml:space="preserve">Конверсия в покупку, %</t>
  </si>
  <si>
    <t xml:space="preserve">Прогноз билетов, шт</t>
  </si>
  <si>
    <t xml:space="preserve">CPA, ₽ за билет</t>
  </si>
  <si>
    <t xml:space="preserve">Таргетированная реклама VK</t>
  </si>
  <si>
    <t xml:space="preserve">Основной платный канал. Гео + интересы + look-alike</t>
  </si>
  <si>
    <t xml:space="preserve">Посевы в Telegram-каналах</t>
  </si>
  <si>
    <t xml:space="preserve">Городские и жанровые каналы. Просите статистику до оплаты</t>
  </si>
  <si>
    <t xml:space="preserve">Блогеры и лидеры мнений</t>
  </si>
  <si>
    <t xml:space="preserve">Часть работает по бартеру за билеты</t>
  </si>
  <si>
    <t xml:space="preserve">Наружная реклама и расклейка афиш</t>
  </si>
  <si>
    <t xml:space="preserve">Плохо атрибутируется — нужен отдельный промокод</t>
  </si>
  <si>
    <t xml:space="preserve">Городские афиши: Яндекс.Афиша, KudaGo</t>
  </si>
  <si>
    <t xml:space="preserve">Бесплатно. Подавать за 3–4 недели</t>
  </si>
  <si>
    <t xml:space="preserve">PR: пресс-релиз, СМИ, интервью</t>
  </si>
  <si>
    <t xml:space="preserve">Даёт доверие и перепечатки, а не прямые продажи</t>
  </si>
  <si>
    <t xml:space="preserve">Email и база подписчиков</t>
  </si>
  <si>
    <t xml:space="preserve">Самый дешёвый билет. Базу надо собирать заранее</t>
  </si>
  <si>
    <t xml:space="preserve">Продакшн контента: дизайн, тизер, фото</t>
  </si>
  <si>
    <t xml:space="preserve">Не продаёт напрямую, но без него не работают каналы выше</t>
  </si>
  <si>
    <t xml:space="preserve">ИТОГО МАРКЕТИНГ И PR</t>
  </si>
  <si>
    <t xml:space="preserve">ПРОВЕРКА ЗДОРОВЬЯ МАРКЕТИНГА</t>
  </si>
  <si>
    <t xml:space="preserve">Бюджет маркетинга и PR, ₽</t>
  </si>
  <si>
    <t xml:space="preserve">Прогноз билетов от маркетинга, шт</t>
  </si>
  <si>
    <t xml:space="preserve">План продаж по билетной матрице, шт</t>
  </si>
  <si>
    <t xml:space="preserve">Покрытие плана продаж маркетингом, %</t>
  </si>
  <si>
    <t xml:space="preserve">Ниже 100% — план продаж ничем не обеспечен</t>
  </si>
  <si>
    <t xml:space="preserve">CPA к средней цене билета, %</t>
  </si>
  <si>
    <t xml:space="preserve">Здоровый диапазон — до 25%</t>
  </si>
  <si>
    <t xml:space="preserve">Доля маркетинга в валовом сборе, %</t>
  </si>
  <si>
    <t xml:space="preserve">Ориентир для клубного концерта — 10–15%</t>
  </si>
  <si>
    <t xml:space="preserve">Вердикт</t>
  </si>
  <si>
    <t xml:space="preserve">ЭКОНОМИКА КОНЦЕРТА</t>
  </si>
  <si>
    <t xml:space="preserve">Этап 1: валовой сбор − УСН − РАО − технические расходы = прибыль. Прибыль делится пополам. Этап 2: из половины организатора вычитаются налоги 7%, банк 1%, гонорары, маркетинг и прочие расходы.</t>
  </si>
  <si>
    <t xml:space="preserve">Показатель</t>
  </si>
  <si>
    <t xml:space="preserve">Расшифровка, ₽</t>
  </si>
  <si>
    <t xml:space="preserve">% от сбора</t>
  </si>
  <si>
    <t xml:space="preserve">ЭТАП 1 — ДО РАЗДЕЛА ПРИБЫЛИ С ПЛОЩАДКОЙ</t>
  </si>
  <si>
    <t xml:space="preserve">1. ВАЛОВОЙ СБОР</t>
  </si>
  <si>
    <t xml:space="preserve">Вся выручка от продажи билетов — лист «Билеты»</t>
  </si>
  <si>
    <t xml:space="preserve">2. Налоги УСН 6%</t>
  </si>
  <si>
    <t xml:space="preserve">Ставка — на листе «Вводные»</t>
  </si>
  <si>
    <t xml:space="preserve">3. Отчисления в РАО 8%</t>
  </si>
  <si>
    <t xml:space="preserve">Ставка 8% по вашим условиям. Базовый тариф РАО для концертов обычно 5% — стоит сверить с договором</t>
  </si>
  <si>
    <t xml:space="preserve">4. Технические расходы: аренда звука и обеспечение площадки</t>
  </si>
  <si>
    <t xml:space="preserve">Режим «из сметы» или «фиксированной суммой» — на листе «Вводные»</t>
  </si>
  <si>
    <t xml:space="preserve">Гонорары артистам — если вычитаются до раздела</t>
  </si>
  <si>
    <t xml:space="preserve">По вашей схеме = 0. Переключатель на листе «Вводные»</t>
  </si>
  <si>
    <t xml:space="preserve">Маркетинг и PR — если вычитается до раздела</t>
  </si>
  <si>
    <t xml:space="preserve">Прочие расходы — если вычитаются до раздела</t>
  </si>
  <si>
    <t xml:space="preserve">5. ПРИБЫЛЬ</t>
  </si>
  <si>
    <t xml:space="preserve">РАЗДЕЛ ПРИБЫЛИ ПОПОЛАМ</t>
  </si>
  <si>
    <t xml:space="preserve">Доля площадки</t>
  </si>
  <si>
    <t xml:space="preserve">При убытке площадка не участвует, если в договоре не сказано иное</t>
  </si>
  <si>
    <t xml:space="preserve">ПРИБЫЛЬ ОРГАНИЗАТОРА</t>
  </si>
  <si>
    <t xml:space="preserve">Это база, из которой дальше вычитается всё на этапе 2</t>
  </si>
  <si>
    <t xml:space="preserve">С прибыли организатора, полученной от площадки</t>
  </si>
  <si>
    <t xml:space="preserve">КЛЮЧЕВЫЕ МЕТРИКИ И ТОЧКА БЕЗУБЫТОЧНОСТИ</t>
  </si>
  <si>
    <t xml:space="preserve">Расходы, вычитаемые до раздела (этап 1)</t>
  </si>
  <si>
    <t xml:space="preserve">Расходы, вычитаемые после раздела (этап 2)</t>
  </si>
  <si>
    <t xml:space="preserve">Валовой сбор в точке безубыточности, ₽</t>
  </si>
  <si>
    <t xml:space="preserve">Сколько нужно собрать кассы, чтобы чистый доход организатора вышел в ноль</t>
  </si>
  <si>
    <t xml:space="preserve">Точка безубыточности, % заполнения зала</t>
  </si>
  <si>
    <t xml:space="preserve">Запас прочности (насколько план выше нуля), %</t>
  </si>
  <si>
    <t xml:space="preserve">Меньше 15% — проект висит на волоске</t>
  </si>
  <si>
    <t xml:space="preserve">Рентабельность к валовому сбору, %</t>
  </si>
  <si>
    <t xml:space="preserve">Чистый доход на один проданный билет, ₽</t>
  </si>
  <si>
    <t xml:space="preserve">ВЕРДИКТ ПО ПРОЕКТУ</t>
  </si>
  <si>
    <t xml:space="preserve">СЦЕНАРИИ: ОТ ПРОВАЛА ДО АНШЛАГА</t>
  </si>
  <si>
    <t xml:space="preserve">Цены и вся смета во всех сценариях одинаковые — меняется только заполняемость зала. Последний столбец показывает, где проходит граница нуля.</t>
  </si>
  <si>
    <t xml:space="preserve">БАЗОВЫЙ</t>
  </si>
  <si>
    <t xml:space="preserve">Точка безубыточности</t>
  </si>
  <si>
    <t xml:space="preserve">Заполняемость зала, %</t>
  </si>
  <si>
    <t xml:space="preserve">Пессимистичный и оптимистичный задаются на листе «Вводные»</t>
  </si>
  <si>
    <t xml:space="preserve">4. Технические расходы</t>
  </si>
  <si>
    <t xml:space="preserve">   гонорары — если до раздела</t>
  </si>
  <si>
    <t xml:space="preserve">   маркетинг — если до раздела</t>
  </si>
  <si>
    <t xml:space="preserve">   прочие — если до раздела</t>
  </si>
  <si>
    <t xml:space="preserve">Именно эта строка делится с площадкой пополам</t>
  </si>
  <si>
    <t xml:space="preserve">   доля площадки</t>
  </si>
  <si>
    <t xml:space="preserve">База для всех вычетов этапа 2</t>
  </si>
  <si>
    <t xml:space="preserve">   налоги 7%</t>
  </si>
  <si>
    <t xml:space="preserve">   банковские комиссии 1%</t>
  </si>
  <si>
    <t xml:space="preserve">   гонорары артистам</t>
  </si>
  <si>
    <t xml:space="preserve">   маркетинг и PR</t>
  </si>
  <si>
    <t xml:space="preserve">   прочие расходы</t>
  </si>
  <si>
    <t xml:space="preserve">Деньги, которые реально останутся у вас</t>
  </si>
  <si>
    <t xml:space="preserve">Отклонение от базового сценария, ₽</t>
  </si>
  <si>
    <t xml:space="preserve">ЧУВСТВИТЕЛЬНОСТЬ: ЦЕНА ПРОТИВ ЗАПОЛНЯЕМОСТИ</t>
  </si>
  <si>
    <t xml:space="preserve">Зелёное — прибыль, красное — убыток. Верхняя таблица — прибыль до раздела, нижняя — то, что остаётся организатору после раздела и расходов этапа 2.</t>
  </si>
  <si>
    <t xml:space="preserve">ПРИБЫЛЬ ДО РАЗДЕЛА С ПЛОЩАДКОЙ (этап 1), ₽</t>
  </si>
  <si>
    <t xml:space="preserve">Заполняемость \ Средняя цена</t>
  </si>
  <si>
    <t xml:space="preserve">ЧИСТЫЙ ДОХОД ОРГАНИЗАТОРА после раздела и расходов этапа 2, ₽</t>
  </si>
  <si>
    <t xml:space="preserve">Сколько нужно продать при разной средней цене, чтобы выйти в ноль</t>
  </si>
  <si>
    <t xml:space="preserve">Средняя цена, ₽</t>
  </si>
  <si>
    <t xml:space="preserve">Нужно продать платных билетов, шт</t>
  </si>
  <si>
    <t xml:space="preserve">Это заполняемость зала, %</t>
  </si>
  <si>
    <t xml:space="preserve">ВАРИАНТЫ УЛУЧШЕНИЯ ЭКОНОМИКИ</t>
  </si>
  <si>
    <t xml:space="preserve">Отсортировано по силе влияния. Первые три меняют саму конструкцию сделки — они дают больше, чем любая экономия на смете.</t>
  </si>
  <si>
    <t xml:space="preserve">№</t>
  </si>
  <si>
    <t xml:space="preserve">Направление</t>
  </si>
  <si>
    <t xml:space="preserve">Что конкретно сделать</t>
  </si>
  <si>
    <t xml:space="preserve">Где в модели</t>
  </si>
  <si>
    <t xml:space="preserve">Оценка эффекта</t>
  </si>
  <si>
    <t xml:space="preserve">Что учесть / риск</t>
  </si>
  <si>
    <t xml:space="preserve">Сделка</t>
  </si>
  <si>
    <t xml:space="preserve">Вычитать гонорары и маркетинг ДО раздела прибыли. Сейчас площадка получает половину суммы, из которой вы ещё не заплатили ни артистам, ни за рекламу — то есть делит с вами выручку, а не прибыль.</t>
  </si>
  <si>
    <t xml:space="preserve">Вводные, раздел 7 — переключатели</t>
  </si>
  <si>
    <t xml:space="preserve">Самый сильный рычаг</t>
  </si>
  <si>
    <t xml:space="preserve">Это стандартная конструкция ко-промоушена. Главный пункт переговоров</t>
  </si>
  <si>
    <t xml:space="preserve">Прописать раздел убытка, а не только прибыли. Сейчас риск асимметричен: прибыль пополам, убыток целиком ваш.</t>
  </si>
  <si>
    <t xml:space="preserve">Вводные: «Убыток делится с площадкой»</t>
  </si>
  <si>
    <t xml:space="preserve">Снижает риск вдвое</t>
  </si>
  <si>
    <t xml:space="preserve">Площадки соглашаются редко, но просить нужно всегда</t>
  </si>
  <si>
    <t xml:space="preserve">Сдвинуть долю: 60/40 или 70/30 в вашу пользу, если вы приводите свою аудиторию и несёте маркетинг.</t>
  </si>
  <si>
    <t xml:space="preserve">Вводные: «Доля организатора в прибыли»</t>
  </si>
  <si>
    <t xml:space="preserve">+10–20 п.п. доли</t>
  </si>
  <si>
    <t xml:space="preserve">Аргумент — ваш бюджет маркетинга и ваша база</t>
  </si>
  <si>
    <t xml:space="preserve">РАО</t>
  </si>
  <si>
    <t xml:space="preserve">Проверить ставку 8%. Базовый тариф РАО для концертов обычно 5%. Уточнить, не входят ли туда смежные права (ВОИС), и декларировать точный репертуар: собственные произведения возвращаются автору.</t>
  </si>
  <si>
    <t xml:space="preserve">Вводные: «Отчисления в РАО»</t>
  </si>
  <si>
    <t xml:space="preserve">До 3% от сбора</t>
  </si>
  <si>
    <t xml:space="preserve">Нужна корректная рапортичка. Не платить вообще нельзя</t>
  </si>
  <si>
    <t xml:space="preserve">Налоги</t>
  </si>
  <si>
    <t xml:space="preserve">Проверить, не возникает ли двойного УСН: 6% на этапе 1 с полной кассы и 7% на этапе 2 с вашей доли. Возможно, форму договора с площадкой можно изменить так, чтобы вашим доходом сразу была ваша доля.</t>
  </si>
  <si>
    <t xml:space="preserve">Вводные, разделы 3 и 6</t>
  </si>
  <si>
    <t xml:space="preserve">До 6% от сбора</t>
  </si>
  <si>
    <t xml:space="preserve">ОБЯЗАТЕЛЬНО с бухгалтером — зависит от формы договора</t>
  </si>
  <si>
    <t xml:space="preserve">Техника</t>
  </si>
  <si>
    <t xml:space="preserve">Разделить технический райдер на «обязательное» и «желательное». Мониторы, свет и видео часто можно упростить без потери качества концерта.</t>
  </si>
  <si>
    <t xml:space="preserve">Лист «Технические»</t>
  </si>
  <si>
    <t xml:space="preserve">−15–30% сметы</t>
  </si>
  <si>
    <t xml:space="preserve">Согласовать с артистом заранее, а не за день</t>
  </si>
  <si>
    <t xml:space="preserve">Взять звук пакетом у одного подрядчика вместо аренды по позициям. Пакет обычно дешевле суммы строк.</t>
  </si>
  <si>
    <t xml:space="preserve">−10–20% сметы</t>
  </si>
  <si>
    <t xml:space="preserve">Требуйте в договоре конкретный список оборудования</t>
  </si>
  <si>
    <t xml:space="preserve">Цена</t>
  </si>
  <si>
    <t xml:space="preserve">Волновое ценообразование: early bird → предпродажа → цена на входе. Ранняя квота даёт деньги на маркетинг до концерта.</t>
  </si>
  <si>
    <t xml:space="preserve">Лист «Билеты», категории 1–3</t>
  </si>
  <si>
    <t xml:space="preserve">+5–10% к сбору</t>
  </si>
  <si>
    <t xml:space="preserve">Уже заложено. Разрыв больше 40% обесценивает раннюю цену</t>
  </si>
  <si>
    <t xml:space="preserve">Поднять цену фан-зоны и добавить в неё мерч или ранний вход. Платят за статус, а не за метры.</t>
  </si>
  <si>
    <t xml:space="preserve">Лист «Билеты», строка «Фан-зона / VIP»</t>
  </si>
  <si>
    <t xml:space="preserve">+3–7% к сбору</t>
  </si>
  <si>
    <t xml:space="preserve">Квота VIP выше 15% зала обычно не продаётся</t>
  </si>
  <si>
    <t xml:space="preserve">Маркетинг</t>
  </si>
  <si>
    <t xml:space="preserve">Перераспределить бюджет в каналы с низким CPA: своя база и Telegram обычно в разы дешевле таргета.</t>
  </si>
  <si>
    <t xml:space="preserve">Лист «Маркетинг», столбец CPA</t>
  </si>
  <si>
    <t xml:space="preserve">−20–30% бюджета</t>
  </si>
  <si>
    <t xml:space="preserve">Требует заранее собранной базы</t>
  </si>
  <si>
    <t xml:space="preserve">Кросс-промо с площадками и артистами смежной аудитории вместо платного охвата.</t>
  </si>
  <si>
    <t xml:space="preserve">Лист «Маркетинг», строка с бюджетом 0</t>
  </si>
  <si>
    <t xml:space="preserve">−10–15 тыс ₽</t>
  </si>
  <si>
    <t xml:space="preserve">Договариваться за 4–6 недель</t>
  </si>
  <si>
    <t xml:space="preserve">Гонорары</t>
  </si>
  <si>
    <t xml:space="preserve">Перевести часть гонорара в процент от прибыли. Артист разделит риск, а вы снизите постоянные расходы.</t>
  </si>
  <si>
    <t xml:space="preserve">Лист «Гонорары»</t>
  </si>
  <si>
    <t xml:space="preserve">Снижает точку безубыточности</t>
  </si>
  <si>
    <t xml:space="preserve">Работает только со «своими» артистами</t>
  </si>
  <si>
    <t xml:space="preserve">Проверить статус музыкантов: самозанятые снимают с вас взносы и НДФЛ.</t>
  </si>
  <si>
    <t xml:space="preserve">Лист «Гонорары», строка налогов</t>
  </si>
  <si>
    <t xml:space="preserve">До 15 тыс ₽</t>
  </si>
  <si>
    <t xml:space="preserve">Нужны договоры и чеки от самозанятых</t>
  </si>
  <si>
    <t xml:space="preserve">Доходы</t>
  </si>
  <si>
    <t xml:space="preserve">Добавить источники вне билетов: мерч, доля от бара, спонсорский пакет. Сейчас их в модели нет — скажите, и добавлю отдельным блоком.</t>
  </si>
  <si>
    <t xml:space="preserve">Нужен новый блок</t>
  </si>
  <si>
    <t xml:space="preserve">+50–150 тыс ₽</t>
  </si>
  <si>
    <t xml:space="preserve">Долю от бара надо прописать в договоре с площадкой</t>
  </si>
  <si>
    <t xml:space="preserve">Риск</t>
  </si>
  <si>
    <t xml:space="preserve">Предпродажа с порогом: подтверждать концерт только при N проданных билетов.</t>
  </si>
  <si>
    <t xml:space="preserve">Экономика: точка безубыточности</t>
  </si>
  <si>
    <t xml:space="preserve">Убирает риск убытка</t>
  </si>
  <si>
    <t xml:space="preserve">Нужна возможность вернуть деньги</t>
  </si>
  <si>
    <t xml:space="preserve">Свести платёжный календарь: предоплаты за технику и рекламу уходят до того, как придут деньги за билеты.</t>
  </si>
  <si>
    <t xml:space="preserve">Нужен отдельный лист</t>
  </si>
  <si>
    <t xml:space="preserve">Убирает кассовый разрыв</t>
  </si>
  <si>
    <t xml:space="preserve">Скажите — добавлю календарь по неделям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</si>
</sst>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&quot; ₽&quot;;[RED]\(#,##0&quot; ₽)&quot;;\—"/>
    <numFmt numFmtId="166" formatCode="#,##0;[RED]\(#,##0\);\—"/>
    <numFmt numFmtId="167" formatCode="0.0%"/>
    <numFmt numFmtId="168" formatCode="0.00%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9"/>
      <color rgb="FF44546A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808080"/>
      <name val="Arial"/>
      <family val="0"/>
      <charset val="1"/>
    </font>
    <font>
      <sz val="9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8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DEBF7"/>
      </patternFill>
    </fill>
    <fill>
      <patternFill patternType="solid">
        <fgColor rgb="FFF7F9FC"/>
        <bgColor rgb="FFFFFFFF"/>
      </patternFill>
    </fill>
    <fill>
      <patternFill patternType="solid">
        <fgColor rgb="FFFCE4D6"/>
        <bgColor rgb="FFFFF2CC"/>
      </patternFill>
    </fill>
    <fill>
      <patternFill patternType="solid">
        <fgColor rgb="FF4472C4"/>
        <bgColor rgb="FF44546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D9E2F3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medium">
        <color rgb="FF1F3864"/>
      </top>
      <bottom style="medium">
        <color rgb="FF1F3864"/>
      </bottom>
      <diagonal/>
    </border>
    <border diagonalUp="false" diagonalDown="false">
      <left style="medium">
        <color rgb="FF1F3864"/>
      </left>
      <right style="medium">
        <color rgb="FF1F3864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17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7" fontId="18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5" fontId="2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general" vertical="bottom" textRotation="0" wrapText="false" indent="3" shrinkToFit="false"/>
      <protection locked="true" hidden="false"/>
    </xf>
    <xf numFmtId="165" fontId="15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7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8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8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F7F9FC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44546A"/>
      <rgbColor rgb="FF969696"/>
      <rgbColor rgb="FF1F3864"/>
      <rgbColor rgb="FF339966"/>
      <rgbColor rgb="FF0061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4" min="4" style="0" width="4"/>
    <col collapsed="false" customWidth="true" hidden="false" outlineLevel="0" max="5" min="5" style="0" width="42"/>
    <col collapsed="false" customWidth="true" hidden="false" outlineLevel="0" max="6" min="6" style="0" width="20"/>
  </cols>
  <sheetData>
    <row r="1" customFormat="false" ht="30" hidden="false" customHeight="true" outlineLevel="0" collapsed="false">
      <c r="A1" s="1" t="s">
        <v>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</v>
      </c>
      <c r="B2" s="4"/>
      <c r="C2" s="4"/>
      <c r="D2" s="4"/>
      <c r="E2" s="4"/>
      <c r="F2" s="4"/>
    </row>
    <row r="3" customFormat="false" ht="15" hidden="false" customHeight="false" outlineLevel="0" collapsed="false">
      <c r="A3" s="4"/>
      <c r="B3" s="4"/>
      <c r="C3" s="4"/>
      <c r="D3" s="4"/>
      <c r="E3" s="4"/>
      <c r="F3" s="4"/>
    </row>
    <row r="4" customFormat="false" ht="15" hidden="false" customHeight="false" outlineLevel="0" collapsed="false">
      <c r="A4" s="4"/>
      <c r="B4" s="5" t="s">
        <v>2</v>
      </c>
      <c r="C4" s="6" t="str">
        <f aca="false">Вводные!$B$5</f>
        <v>— укажите название —</v>
      </c>
      <c r="D4" s="4"/>
      <c r="E4" s="5" t="s">
        <v>3</v>
      </c>
      <c r="F4" s="7" t="str">
        <f aca="false">Вводные!$B$7&amp;" · "&amp;Вводные!$B$8</f>
        <v>— ДД.ММ.ГГГГ, 20:00 — · — клуб —</v>
      </c>
    </row>
    <row r="5" customFormat="false" ht="15" hidden="false" customHeight="false" outlineLevel="0" collapsed="false">
      <c r="A5" s="4"/>
      <c r="B5" s="4"/>
      <c r="C5" s="4"/>
      <c r="D5" s="4"/>
      <c r="E5" s="4"/>
      <c r="F5" s="4"/>
    </row>
    <row r="6" customFormat="false" ht="19.5" hidden="false" customHeight="true" outlineLevel="0" collapsed="false">
      <c r="A6" s="8" t="s">
        <v>4</v>
      </c>
      <c r="B6" s="9"/>
      <c r="C6" s="9"/>
      <c r="D6" s="9"/>
      <c r="E6" s="9"/>
      <c r="F6" s="9"/>
    </row>
    <row r="7" customFormat="false" ht="19.5" hidden="false" customHeight="true" outlineLevel="0" collapsed="false">
      <c r="A7" s="4"/>
      <c r="B7" s="10" t="s">
        <v>5</v>
      </c>
      <c r="C7" s="11" t="n">
        <f aca="false">Экономика!$C$6</f>
        <v>466100</v>
      </c>
      <c r="D7" s="4"/>
      <c r="E7" s="10" t="s">
        <v>6</v>
      </c>
      <c r="F7" s="12" t="n">
        <f aca="false">Билеты!$E$12</f>
        <v>202</v>
      </c>
    </row>
    <row r="8" customFormat="false" ht="19.5" hidden="false" customHeight="true" outlineLevel="0" collapsed="false">
      <c r="A8" s="4"/>
      <c r="B8" s="10" t="s">
        <v>7</v>
      </c>
      <c r="C8" s="11" t="n">
        <f aca="false">Экономика!$C$7</f>
        <v>-27966</v>
      </c>
      <c r="D8" s="4"/>
      <c r="E8" s="10" t="s">
        <v>8</v>
      </c>
      <c r="F8" s="11" t="n">
        <f aca="false">Экономика!$C$8</f>
        <v>-37288</v>
      </c>
    </row>
    <row r="9" customFormat="false" ht="19.5" hidden="false" customHeight="true" outlineLevel="0" collapsed="false">
      <c r="A9" s="4"/>
      <c r="B9" s="10" t="s">
        <v>9</v>
      </c>
      <c r="C9" s="11" t="n">
        <f aca="false">Экономика!$C$9</f>
        <v>-154500</v>
      </c>
      <c r="D9" s="4"/>
      <c r="E9" s="10" t="s">
        <v>10</v>
      </c>
      <c r="F9" s="11" t="n">
        <f aca="false">Билеты!$B$19</f>
        <v>2427.60416666667</v>
      </c>
    </row>
    <row r="10" customFormat="false" ht="25.5" hidden="false" customHeight="true" outlineLevel="0" collapsed="false">
      <c r="A10" s="4"/>
      <c r="B10" s="13" t="s">
        <v>11</v>
      </c>
      <c r="C10" s="14" t="n">
        <f aca="false">Экономика!$C$30</f>
        <v>246346</v>
      </c>
      <c r="D10" s="4"/>
      <c r="E10" s="13" t="s">
        <v>12</v>
      </c>
      <c r="F10" s="14" t="n">
        <f aca="false">Экономика!$C$34</f>
        <v>123173</v>
      </c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</row>
    <row r="12" customFormat="false" ht="19.5" hidden="false" customHeight="true" outlineLevel="0" collapsed="false">
      <c r="A12" s="8" t="s">
        <v>13</v>
      </c>
      <c r="B12" s="9"/>
      <c r="C12" s="9"/>
      <c r="D12" s="9"/>
      <c r="E12" s="9"/>
      <c r="F12" s="9"/>
    </row>
    <row r="13" customFormat="false" ht="19.5" hidden="false" customHeight="true" outlineLevel="0" collapsed="false">
      <c r="A13" s="4"/>
      <c r="B13" s="10" t="s">
        <v>14</v>
      </c>
      <c r="C13" s="11" t="n">
        <f aca="false">Экономика!$C$37</f>
        <v>-8622.11</v>
      </c>
      <c r="D13" s="4"/>
      <c r="E13" s="10" t="s">
        <v>15</v>
      </c>
      <c r="F13" s="11" t="n">
        <f aca="false">Экономика!$C$38</f>
        <v>-1231.73</v>
      </c>
    </row>
    <row r="14" customFormat="false" ht="19.5" hidden="false" customHeight="true" outlineLevel="0" collapsed="false">
      <c r="A14" s="4"/>
      <c r="B14" s="10" t="s">
        <v>16</v>
      </c>
      <c r="C14" s="11" t="n">
        <f aca="false">Экономика!$C$39</f>
        <v>-49000</v>
      </c>
      <c r="D14" s="4"/>
      <c r="E14" s="10" t="s">
        <v>17</v>
      </c>
      <c r="F14" s="11" t="n">
        <f aca="false">Экономика!$C$48</f>
        <v>-60000</v>
      </c>
    </row>
    <row r="15" customFormat="false" ht="19.5" hidden="false" customHeight="true" outlineLevel="0" collapsed="false">
      <c r="A15" s="4"/>
      <c r="B15" s="10" t="s">
        <v>18</v>
      </c>
      <c r="C15" s="11" t="n">
        <f aca="false">Экономика!$C$57</f>
        <v>-76450</v>
      </c>
      <c r="D15" s="4"/>
      <c r="E15" s="10" t="s">
        <v>19</v>
      </c>
      <c r="F15" s="11" t="n">
        <f aca="false">Экономика!$C$37+Экономика!$C$38+Экономика!$C$39+Экономика!$C$48+Экономика!$C$57</f>
        <v>-195303.84</v>
      </c>
    </row>
    <row r="16" customFormat="false" ht="25.5" hidden="false" customHeight="true" outlineLevel="0" collapsed="false">
      <c r="A16" s="4"/>
      <c r="B16" s="13" t="s">
        <v>20</v>
      </c>
      <c r="C16" s="14" t="n">
        <f aca="false">Экономика!$C$72</f>
        <v>-72130.84</v>
      </c>
      <c r="D16" s="4"/>
      <c r="E16" s="13" t="s">
        <v>21</v>
      </c>
      <c r="F16" s="15" t="n">
        <f aca="false">Экономика!$C$81</f>
        <v>-0.154754001287277</v>
      </c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</row>
    <row r="18" customFormat="false" ht="19.5" hidden="false" customHeight="true" outlineLevel="0" collapsed="false">
      <c r="A18" s="8" t="s">
        <v>22</v>
      </c>
      <c r="B18" s="9"/>
      <c r="C18" s="9"/>
      <c r="D18" s="9"/>
      <c r="E18" s="9"/>
      <c r="F18" s="9"/>
    </row>
    <row r="19" customFormat="false" ht="19.5" hidden="false" customHeight="true" outlineLevel="0" collapsed="false">
      <c r="A19" s="4"/>
      <c r="B19" s="10" t="s">
        <v>23</v>
      </c>
      <c r="C19" s="11" t="n">
        <f aca="false">Экономика!$C$77</f>
        <v>648432.760364004</v>
      </c>
      <c r="D19" s="4"/>
      <c r="E19" s="10" t="s">
        <v>24</v>
      </c>
      <c r="F19" s="12" t="n">
        <f aca="false">Экономика!$C$78</f>
        <v>268</v>
      </c>
    </row>
    <row r="20" customFormat="false" ht="19.5" hidden="false" customHeight="true" outlineLevel="0" collapsed="false">
      <c r="A20" s="4"/>
      <c r="B20" s="10" t="s">
        <v>25</v>
      </c>
      <c r="C20" s="16" t="n">
        <f aca="false">Экономика!$C$79</f>
        <v>0.939861111111111</v>
      </c>
      <c r="D20" s="4"/>
      <c r="E20" s="10" t="s">
        <v>26</v>
      </c>
      <c r="F20" s="16" t="n">
        <f aca="false">Экономика!$C$80</f>
        <v>-0.395833333333333</v>
      </c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</row>
    <row r="22" customFormat="false" ht="24" hidden="false" customHeight="true" outlineLevel="0" collapsed="false">
      <c r="A22" s="4"/>
      <c r="B22" s="17" t="s">
        <v>27</v>
      </c>
      <c r="C22" s="18" t="str">
        <f aca="false">Экономика!$C$83</f>
        <v>УБЫТОК. Нужен сбор от 648 433 ₽ (94% зала), чтобы выйти в ноль</v>
      </c>
      <c r="D22" s="18"/>
      <c r="E22" s="18"/>
      <c r="F22" s="18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</row>
    <row r="24" customFormat="false" ht="19.5" hidden="false" customHeight="true" outlineLevel="0" collapsed="false">
      <c r="A24" s="8" t="s">
        <v>28</v>
      </c>
      <c r="B24" s="9"/>
      <c r="C24" s="9"/>
      <c r="D24" s="9"/>
      <c r="E24" s="9"/>
      <c r="F24" s="9"/>
    </row>
    <row r="25" customFormat="false" ht="43.25" hidden="false" customHeight="false" outlineLevel="0" collapsed="false">
      <c r="A25" s="4"/>
      <c r="B25" s="19" t="s">
        <v>29</v>
      </c>
      <c r="C25" s="19" t="s">
        <v>30</v>
      </c>
      <c r="D25" s="19" t="s">
        <v>31</v>
      </c>
      <c r="E25" s="19" t="s">
        <v>32</v>
      </c>
      <c r="F25" s="4"/>
    </row>
    <row r="26" customFormat="false" ht="15" hidden="false" customHeight="false" outlineLevel="0" collapsed="false">
      <c r="A26" s="4"/>
      <c r="B26" s="20" t="n">
        <f aca="false">Сценарии!B24</f>
        <v>-147038.93625</v>
      </c>
      <c r="C26" s="20" t="n">
        <f aca="false">Сценарии!C24</f>
        <v>-72130.84</v>
      </c>
      <c r="D26" s="20" t="n">
        <f aca="false">Сценарии!D24</f>
        <v>-9707.42645833336</v>
      </c>
      <c r="E26" s="20" t="n">
        <f aca="false">Сценарии!E24</f>
        <v>17182.659375</v>
      </c>
      <c r="F26" s="4"/>
    </row>
    <row r="27" customFormat="false" ht="15" hidden="false" customHeight="false" outlineLevel="0" collapsed="false">
      <c r="A27" s="4"/>
      <c r="B27" s="21" t="n">
        <f aca="false">Сценарии!B5</f>
        <v>0.4</v>
      </c>
      <c r="C27" s="21" t="n">
        <f aca="false">Сценарии!C5</f>
        <v>0.673333333333333</v>
      </c>
      <c r="D27" s="21" t="n">
        <f aca="false">Сценарии!D5</f>
        <v>0.9</v>
      </c>
      <c r="E27" s="21" t="n">
        <f aca="false">Сценарии!E5</f>
        <v>1</v>
      </c>
      <c r="F27" s="3" t="s">
        <v>33</v>
      </c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</row>
    <row r="29" customFormat="false" ht="19.5" hidden="false" customHeight="true" outlineLevel="0" collapsed="false">
      <c r="A29" s="8" t="s">
        <v>34</v>
      </c>
      <c r="B29" s="9"/>
      <c r="C29" s="9"/>
      <c r="D29" s="9"/>
      <c r="E29" s="9"/>
      <c r="F29" s="9"/>
    </row>
    <row r="30" customFormat="false" ht="25.5" hidden="false" customHeight="true" outlineLevel="0" collapsed="false">
      <c r="A30" s="4"/>
      <c r="B30" s="22" t="s">
        <v>35</v>
      </c>
      <c r="C30" s="22"/>
      <c r="D30" s="22"/>
      <c r="E30" s="22"/>
      <c r="F30" s="22"/>
    </row>
    <row r="31" customFormat="false" ht="25.5" hidden="false" customHeight="true" outlineLevel="0" collapsed="false">
      <c r="A31" s="4"/>
      <c r="B31" s="22" t="s">
        <v>36</v>
      </c>
      <c r="C31" s="22"/>
      <c r="D31" s="22"/>
      <c r="E31" s="22"/>
      <c r="F31" s="22"/>
    </row>
    <row r="32" customFormat="false" ht="25.5" hidden="false" customHeight="true" outlineLevel="0" collapsed="false">
      <c r="A32" s="4"/>
      <c r="B32" s="22" t="s">
        <v>37</v>
      </c>
      <c r="C32" s="22"/>
      <c r="D32" s="22"/>
      <c r="E32" s="22"/>
      <c r="F32" s="22"/>
    </row>
    <row r="33" customFormat="false" ht="25.5" hidden="false" customHeight="true" outlineLevel="0" collapsed="false">
      <c r="A33" s="4"/>
      <c r="B33" s="22" t="s">
        <v>38</v>
      </c>
      <c r="C33" s="22"/>
      <c r="D33" s="22"/>
      <c r="E33" s="22"/>
      <c r="F33" s="22"/>
    </row>
    <row r="34" customFormat="false" ht="25.5" hidden="false" customHeight="true" outlineLevel="0" collapsed="false">
      <c r="A34" s="4"/>
      <c r="B34" s="22" t="s">
        <v>39</v>
      </c>
      <c r="C34" s="22"/>
      <c r="D34" s="22"/>
      <c r="E34" s="22"/>
      <c r="F34" s="22"/>
    </row>
    <row r="35" customFormat="false" ht="25.5" hidden="false" customHeight="true" outlineLevel="0" collapsed="false">
      <c r="A35" s="4"/>
      <c r="B35" s="22" t="s">
        <v>40</v>
      </c>
      <c r="C35" s="22"/>
      <c r="D35" s="22"/>
      <c r="E35" s="22"/>
      <c r="F35" s="22"/>
    </row>
    <row r="36" customFormat="false" ht="25.5" hidden="false" customHeight="true" outlineLevel="0" collapsed="false">
      <c r="A36" s="4"/>
      <c r="B36" s="22" t="s">
        <v>41</v>
      </c>
      <c r="C36" s="22"/>
      <c r="D36" s="22"/>
      <c r="E36" s="22"/>
      <c r="F36" s="22"/>
    </row>
  </sheetData>
  <mergeCells count="8">
    <mergeCell ref="C22:F22"/>
    <mergeCell ref="B30:F30"/>
    <mergeCell ref="B31:F31"/>
    <mergeCell ref="B32:F32"/>
    <mergeCell ref="B33:F33"/>
    <mergeCell ref="B34:F34"/>
    <mergeCell ref="B35:F35"/>
    <mergeCell ref="B36:F36"/>
  </mergeCells>
  <conditionalFormatting sqref="C22">
    <cfRule type="expression" priority="2" aboveAverage="0" equalAverage="0" bottom="0" percent="0" rank="0" text="" dxfId="0">
      <formula>LEFT($C$22,6)="УБЫТОК"</formula>
    </cfRule>
    <cfRule type="expression" priority="3" aboveAverage="0" equalAverage="0" bottom="0" percent="0" rank="0" text="" dxfId="1">
      <formula>LEFT($C$22,7)="ЗДОРОВО"</formula>
    </cfRule>
  </conditionalFormatting>
  <conditionalFormatting sqref="B26:E26">
    <cfRule type="cellIs" priority="4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30" hidden="false" customHeight="true" outlineLevel="0" collapsed="false">
      <c r="A1" s="1" t="s">
        <v>42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43</v>
      </c>
      <c r="B2" s="4"/>
      <c r="C2" s="4"/>
      <c r="D2" s="4"/>
      <c r="E2" s="4"/>
      <c r="F2" s="4"/>
      <c r="G2" s="4"/>
      <c r="H2" s="4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</row>
    <row r="4" customFormat="false" ht="19.5" hidden="false" customHeight="true" outlineLevel="0" collapsed="false">
      <c r="A4" s="8" t="s">
        <v>44</v>
      </c>
      <c r="B4" s="9"/>
      <c r="C4" s="9"/>
      <c r="D4" s="9"/>
      <c r="E4" s="9"/>
      <c r="F4" s="9"/>
      <c r="G4" s="9"/>
      <c r="H4" s="9"/>
    </row>
    <row r="5" customFormat="false" ht="15" hidden="false" customHeight="false" outlineLevel="0" collapsed="false">
      <c r="A5" s="7" t="s">
        <v>45</v>
      </c>
      <c r="B5" s="23" t="s">
        <v>46</v>
      </c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7" t="s">
        <v>47</v>
      </c>
      <c r="B6" s="23" t="s">
        <v>48</v>
      </c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7" t="s">
        <v>49</v>
      </c>
      <c r="B7" s="23" t="s">
        <v>50</v>
      </c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7" t="s">
        <v>51</v>
      </c>
      <c r="B8" s="23" t="s">
        <v>52</v>
      </c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7" t="s">
        <v>53</v>
      </c>
      <c r="B9" s="23" t="s">
        <v>54</v>
      </c>
      <c r="C9" s="4"/>
      <c r="D9" s="4"/>
      <c r="E9" s="4"/>
      <c r="F9" s="4"/>
      <c r="G9" s="4"/>
      <c r="H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</row>
    <row r="11" customFormat="false" ht="19.5" hidden="false" customHeight="true" outlineLevel="0" collapsed="false">
      <c r="A11" s="8" t="s">
        <v>55</v>
      </c>
      <c r="B11" s="9"/>
      <c r="C11" s="9"/>
      <c r="D11" s="9"/>
      <c r="E11" s="9"/>
      <c r="F11" s="9"/>
      <c r="G11" s="9"/>
      <c r="H11" s="9"/>
    </row>
    <row r="12" customFormat="false" ht="15" hidden="false" customHeight="false" outlineLevel="0" collapsed="false">
      <c r="A12" s="7" t="s">
        <v>56</v>
      </c>
      <c r="B12" s="24" t="n">
        <v>300</v>
      </c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7" t="s">
        <v>57</v>
      </c>
      <c r="B13" s="25" t="n">
        <v>0.4</v>
      </c>
      <c r="C13" s="3" t="s">
        <v>58</v>
      </c>
      <c r="D13" s="4"/>
      <c r="E13" s="4"/>
      <c r="F13" s="4"/>
      <c r="G13" s="4"/>
      <c r="H13" s="4"/>
    </row>
    <row r="14" customFormat="false" ht="15" hidden="false" customHeight="false" outlineLevel="0" collapsed="false">
      <c r="A14" s="7" t="s">
        <v>59</v>
      </c>
      <c r="B14" s="25" t="n">
        <v>0.9</v>
      </c>
      <c r="C14" s="4"/>
      <c r="D14" s="4"/>
      <c r="E14" s="4"/>
      <c r="F14" s="4"/>
      <c r="G14" s="4"/>
      <c r="H14" s="4"/>
    </row>
    <row r="15" customFormat="false" ht="15" hidden="false" customHeight="false" outlineLevel="0" collapsed="false">
      <c r="A15" s="7" t="s">
        <v>60</v>
      </c>
      <c r="B15" s="25" t="n">
        <v>1</v>
      </c>
      <c r="C15" s="4"/>
      <c r="D15" s="4"/>
      <c r="E15" s="4"/>
      <c r="F15" s="4"/>
      <c r="G15" s="4"/>
      <c r="H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</row>
    <row r="17" customFormat="false" ht="19.5" hidden="false" customHeight="true" outlineLevel="0" collapsed="false">
      <c r="A17" s="8" t="s">
        <v>61</v>
      </c>
      <c r="B17" s="9"/>
      <c r="C17" s="9"/>
      <c r="D17" s="9"/>
      <c r="E17" s="9"/>
      <c r="F17" s="9"/>
      <c r="G17" s="9"/>
      <c r="H17" s="9"/>
    </row>
    <row r="18" customFormat="false" ht="15" hidden="false" customHeight="false" outlineLevel="0" collapsed="false">
      <c r="A18" s="26" t="s">
        <v>62</v>
      </c>
      <c r="B18" s="25" t="n">
        <v>0.06</v>
      </c>
      <c r="C18" s="3" t="s">
        <v>63</v>
      </c>
      <c r="D18" s="4"/>
      <c r="E18" s="4"/>
      <c r="F18" s="4"/>
      <c r="G18" s="4"/>
      <c r="H18" s="4"/>
    </row>
    <row r="19" customFormat="false" ht="15" hidden="false" customHeight="false" outlineLevel="0" collapsed="false">
      <c r="A19" s="26" t="s">
        <v>64</v>
      </c>
      <c r="B19" s="25" t="n">
        <v>0.08</v>
      </c>
      <c r="C19" s="3" t="s">
        <v>63</v>
      </c>
      <c r="D19" s="4"/>
      <c r="E19" s="4"/>
      <c r="F19" s="4"/>
      <c r="G19" s="4"/>
      <c r="H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9.5" hidden="false" customHeight="true" outlineLevel="0" collapsed="false">
      <c r="A21" s="8" t="s">
        <v>65</v>
      </c>
      <c r="B21" s="9"/>
      <c r="C21" s="9"/>
      <c r="D21" s="9"/>
      <c r="E21" s="9"/>
      <c r="F21" s="9"/>
      <c r="G21" s="9"/>
      <c r="H21" s="9"/>
    </row>
    <row r="22" customFormat="false" ht="15" hidden="false" customHeight="false" outlineLevel="0" collapsed="false">
      <c r="A22" s="26" t="s">
        <v>66</v>
      </c>
      <c r="B22" s="23" t="s">
        <v>67</v>
      </c>
      <c r="C22" s="3" t="s">
        <v>68</v>
      </c>
      <c r="D22" s="4"/>
      <c r="E22" s="4"/>
      <c r="F22" s="4"/>
      <c r="G22" s="4"/>
      <c r="H22" s="4"/>
    </row>
    <row r="23" customFormat="false" ht="15" hidden="false" customHeight="false" outlineLevel="0" collapsed="false">
      <c r="A23" s="26" t="s">
        <v>69</v>
      </c>
      <c r="B23" s="27" t="n">
        <v>150000</v>
      </c>
      <c r="C23" s="3" t="s">
        <v>70</v>
      </c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  <row r="25" customFormat="false" ht="19.5" hidden="false" customHeight="true" outlineLevel="0" collapsed="false">
      <c r="A25" s="8" t="s">
        <v>71</v>
      </c>
      <c r="B25" s="9"/>
      <c r="C25" s="9"/>
      <c r="D25" s="9"/>
      <c r="E25" s="9"/>
      <c r="F25" s="9"/>
      <c r="G25" s="9"/>
      <c r="H25" s="9"/>
    </row>
    <row r="26" customFormat="false" ht="15" hidden="false" customHeight="false" outlineLevel="0" collapsed="false">
      <c r="A26" s="26" t="s">
        <v>72</v>
      </c>
      <c r="B26" s="25" t="n">
        <v>0.5</v>
      </c>
      <c r="C26" s="4"/>
      <c r="D26" s="4"/>
      <c r="E26" s="4"/>
      <c r="F26" s="4"/>
      <c r="G26" s="4"/>
      <c r="H26" s="4"/>
    </row>
    <row r="27" customFormat="false" ht="15" hidden="false" customHeight="false" outlineLevel="0" collapsed="false">
      <c r="A27" s="26" t="s">
        <v>73</v>
      </c>
      <c r="B27" s="28" t="n">
        <f aca="false">1-Вводные!$B$26</f>
        <v>0.5</v>
      </c>
      <c r="C27" s="4"/>
      <c r="D27" s="4"/>
      <c r="E27" s="4"/>
      <c r="F27" s="4"/>
      <c r="G27" s="4"/>
      <c r="H27" s="4"/>
    </row>
    <row r="28" customFormat="false" ht="15" hidden="false" customHeight="false" outlineLevel="0" collapsed="false">
      <c r="A28" s="26" t="s">
        <v>74</v>
      </c>
      <c r="B28" s="23" t="s">
        <v>75</v>
      </c>
      <c r="C28" s="3" t="s">
        <v>76</v>
      </c>
      <c r="D28" s="4"/>
      <c r="E28" s="4"/>
      <c r="F28" s="4"/>
      <c r="G28" s="4"/>
      <c r="H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</row>
    <row r="30" customFormat="false" ht="19.5" hidden="false" customHeight="true" outlineLevel="0" collapsed="false">
      <c r="A30" s="8" t="s">
        <v>77</v>
      </c>
      <c r="B30" s="9"/>
      <c r="C30" s="9"/>
      <c r="D30" s="9"/>
      <c r="E30" s="9"/>
      <c r="F30" s="9"/>
      <c r="G30" s="9"/>
      <c r="H30" s="9"/>
    </row>
    <row r="31" customFormat="false" ht="15" hidden="false" customHeight="false" outlineLevel="0" collapsed="false">
      <c r="A31" s="26" t="s">
        <v>78</v>
      </c>
      <c r="B31" s="25" t="n">
        <v>0.07</v>
      </c>
      <c r="C31" s="3" t="s">
        <v>79</v>
      </c>
      <c r="D31" s="4"/>
      <c r="E31" s="4"/>
      <c r="F31" s="4"/>
      <c r="G31" s="4"/>
      <c r="H31" s="4"/>
    </row>
    <row r="32" customFormat="false" ht="15" hidden="false" customHeight="false" outlineLevel="0" collapsed="false">
      <c r="A32" s="26" t="s">
        <v>80</v>
      </c>
      <c r="B32" s="25" t="n">
        <v>0.01</v>
      </c>
      <c r="C32" s="4"/>
      <c r="D32" s="4"/>
      <c r="E32" s="4"/>
      <c r="F32" s="4"/>
      <c r="G32" s="4"/>
      <c r="H32" s="4"/>
    </row>
    <row r="33" customFormat="false" ht="15" hidden="false" customHeight="false" outlineLevel="0" collapsed="false">
      <c r="A33" s="29" t="s">
        <v>81</v>
      </c>
      <c r="B33" s="30" t="n">
        <f aca="false">Вводные!$B$31+Вводные!$B$32</f>
        <v>0.08</v>
      </c>
      <c r="C33" s="4"/>
      <c r="D33" s="4"/>
      <c r="E33" s="4"/>
      <c r="F33" s="4"/>
      <c r="G33" s="4"/>
      <c r="H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</row>
    <row r="35" customFormat="false" ht="19.5" hidden="false" customHeight="true" outlineLevel="0" collapsed="false">
      <c r="A35" s="8" t="s">
        <v>82</v>
      </c>
      <c r="B35" s="9"/>
      <c r="C35" s="9"/>
      <c r="D35" s="9"/>
      <c r="E35" s="9"/>
      <c r="F35" s="9"/>
      <c r="G35" s="9"/>
      <c r="H35" s="9"/>
    </row>
    <row r="36" customFormat="false" ht="30" hidden="false" customHeight="true" outlineLevel="0" collapsed="false">
      <c r="A36" s="31" t="s">
        <v>83</v>
      </c>
      <c r="B36" s="31"/>
      <c r="C36" s="31"/>
      <c r="D36" s="4"/>
      <c r="E36" s="4"/>
      <c r="F36" s="4"/>
      <c r="G36" s="4"/>
      <c r="H36" s="4"/>
    </row>
    <row r="37" customFormat="false" ht="15" hidden="false" customHeight="false" outlineLevel="0" collapsed="false">
      <c r="A37" s="26" t="s">
        <v>84</v>
      </c>
      <c r="B37" s="23" t="s">
        <v>75</v>
      </c>
      <c r="C37" s="4"/>
      <c r="D37" s="4"/>
      <c r="E37" s="4"/>
      <c r="F37" s="4"/>
      <c r="G37" s="4"/>
      <c r="H37" s="4"/>
    </row>
    <row r="38" customFormat="false" ht="15" hidden="false" customHeight="false" outlineLevel="0" collapsed="false">
      <c r="A38" s="26" t="s">
        <v>85</v>
      </c>
      <c r="B38" s="23" t="s">
        <v>75</v>
      </c>
      <c r="C38" s="4"/>
      <c r="D38" s="4"/>
      <c r="E38" s="4"/>
      <c r="F38" s="4"/>
      <c r="G38" s="4"/>
      <c r="H38" s="4"/>
    </row>
    <row r="39" customFormat="false" ht="15" hidden="false" customHeight="false" outlineLevel="0" collapsed="false">
      <c r="A39" s="26" t="s">
        <v>86</v>
      </c>
      <c r="B39" s="23" t="s">
        <v>75</v>
      </c>
      <c r="C39" s="4"/>
      <c r="D39" s="4"/>
      <c r="E39" s="4"/>
      <c r="F39" s="4"/>
      <c r="G39" s="4"/>
      <c r="H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</row>
    <row r="41" customFormat="false" ht="19.5" hidden="false" customHeight="true" outlineLevel="0" collapsed="false">
      <c r="A41" s="8" t="s">
        <v>87</v>
      </c>
      <c r="B41" s="9"/>
      <c r="C41" s="9"/>
      <c r="D41" s="9"/>
      <c r="E41" s="9"/>
      <c r="F41" s="9"/>
      <c r="G41" s="9"/>
      <c r="H41" s="9"/>
    </row>
    <row r="42" customFormat="false" ht="15" hidden="false" customHeight="false" outlineLevel="0" collapsed="false">
      <c r="A42" s="26" t="s">
        <v>88</v>
      </c>
      <c r="B42" s="25" t="n">
        <v>0.1</v>
      </c>
      <c r="C42" s="4"/>
      <c r="D42" s="4"/>
      <c r="E42" s="4"/>
      <c r="F42" s="4"/>
      <c r="G42" s="4"/>
      <c r="H42" s="4"/>
    </row>
  </sheetData>
  <mergeCells count="1">
    <mergeCell ref="A36:C36"/>
  </mergeCells>
  <dataValidations count="3">
    <dataValidation allowBlank="false" errorStyle="stop" operator="between" showDropDown="false" showErrorMessage="false" showInputMessage="false" sqref="B22" type="list">
      <formula1>"Из сметы,Фиксированной суммой"</formula1>
      <formula2>0</formula2>
    </dataValidation>
    <dataValidation allowBlank="false" errorStyle="stop" operator="between" showDropDown="false" showErrorMessage="false" showInputMessage="false" sqref="B28" type="list">
      <formula1>"Да,Нет"</formula1>
      <formula2>0</formula2>
    </dataValidation>
    <dataValidation allowBlank="false" errorStyle="stop" operator="between" showDropDown="false" showErrorMessage="false" showInputMessage="false" sqref="B37:B39" type="list">
      <formula1>"Да,Нет"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8" min="8" style="0" width="56"/>
  </cols>
  <sheetData>
    <row r="1" customFormat="false" ht="30" hidden="false" customHeight="true" outlineLevel="0" collapsed="false">
      <c r="A1" s="1" t="s">
        <v>89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90</v>
      </c>
      <c r="B2" s="4"/>
      <c r="C2" s="4"/>
      <c r="D2" s="4"/>
      <c r="E2" s="4"/>
      <c r="F2" s="4"/>
      <c r="G2" s="4"/>
      <c r="H2" s="4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</row>
    <row r="4" customFormat="false" ht="19.5" hidden="false" customHeight="true" outlineLevel="0" collapsed="false">
      <c r="A4" s="8" t="s">
        <v>91</v>
      </c>
      <c r="B4" s="9"/>
      <c r="C4" s="9"/>
      <c r="D4" s="9"/>
      <c r="E4" s="9"/>
      <c r="F4" s="9"/>
      <c r="G4" s="9"/>
      <c r="H4" s="9"/>
    </row>
    <row r="5" customFormat="false" ht="30" hidden="false" customHeight="true" outlineLevel="0" collapsed="false">
      <c r="A5" s="32" t="s">
        <v>92</v>
      </c>
      <c r="B5" s="32" t="s">
        <v>93</v>
      </c>
      <c r="C5" s="32" t="s">
        <v>94</v>
      </c>
      <c r="D5" s="32" t="s">
        <v>95</v>
      </c>
      <c r="E5" s="32" t="s">
        <v>96</v>
      </c>
      <c r="F5" s="32" t="s">
        <v>97</v>
      </c>
      <c r="G5" s="32" t="s">
        <v>98</v>
      </c>
      <c r="H5" s="32" t="s">
        <v>99</v>
      </c>
    </row>
    <row r="6" customFormat="false" ht="15" hidden="false" customHeight="false" outlineLevel="0" collapsed="false">
      <c r="A6" s="33" t="s">
        <v>100</v>
      </c>
      <c r="B6" s="27" t="n">
        <v>1800</v>
      </c>
      <c r="C6" s="24" t="n">
        <v>60</v>
      </c>
      <c r="D6" s="25" t="n">
        <v>0.95</v>
      </c>
      <c r="E6" s="34" t="n">
        <f aca="false">ROUND(C6*D6,0)</f>
        <v>57</v>
      </c>
      <c r="F6" s="35" t="n">
        <f aca="false">B6*E6</f>
        <v>102600</v>
      </c>
      <c r="G6" s="36" t="n">
        <f aca="false">IFERROR(F6/$F$12,0)</f>
        <v>0.220124436816134</v>
      </c>
      <c r="H6" s="37" t="s">
        <v>101</v>
      </c>
    </row>
    <row r="7" customFormat="false" ht="15" hidden="false" customHeight="false" outlineLevel="0" collapsed="false">
      <c r="A7" s="33" t="s">
        <v>102</v>
      </c>
      <c r="B7" s="27" t="n">
        <v>2500</v>
      </c>
      <c r="C7" s="24" t="n">
        <v>150</v>
      </c>
      <c r="D7" s="25" t="n">
        <v>0.6</v>
      </c>
      <c r="E7" s="34" t="n">
        <f aca="false">ROUND(C7*D7,0)</f>
        <v>90</v>
      </c>
      <c r="F7" s="35" t="n">
        <f aca="false">B7*E7</f>
        <v>225000</v>
      </c>
      <c r="G7" s="36" t="n">
        <f aca="false">IFERROR(F7/$F$12,0)</f>
        <v>0.482729028105557</v>
      </c>
      <c r="H7" s="37" t="s">
        <v>103</v>
      </c>
    </row>
    <row r="8" customFormat="false" ht="15" hidden="false" customHeight="false" outlineLevel="0" collapsed="false">
      <c r="A8" s="33" t="s">
        <v>104</v>
      </c>
      <c r="B8" s="27" t="n">
        <v>2800</v>
      </c>
      <c r="C8" s="24" t="n">
        <v>40</v>
      </c>
      <c r="D8" s="25" t="n">
        <v>0.5</v>
      </c>
      <c r="E8" s="34" t="n">
        <f aca="false">ROUND(C8*D8,0)</f>
        <v>20</v>
      </c>
      <c r="F8" s="35" t="n">
        <f aca="false">B8*E8</f>
        <v>56000</v>
      </c>
      <c r="G8" s="36" t="n">
        <f aca="false">IFERROR(F8/$F$12,0)</f>
        <v>0.120145891439605</v>
      </c>
      <c r="H8" s="37" t="s">
        <v>105</v>
      </c>
    </row>
    <row r="9" customFormat="false" ht="15" hidden="false" customHeight="false" outlineLevel="0" collapsed="false">
      <c r="A9" s="33" t="s">
        <v>106</v>
      </c>
      <c r="B9" s="27" t="n">
        <v>4000</v>
      </c>
      <c r="C9" s="24" t="n">
        <v>30</v>
      </c>
      <c r="D9" s="25" t="n">
        <v>0.6</v>
      </c>
      <c r="E9" s="34" t="n">
        <f aca="false">ROUND(C9*D9,0)</f>
        <v>18</v>
      </c>
      <c r="F9" s="35" t="n">
        <f aca="false">B9*E9</f>
        <v>72000</v>
      </c>
      <c r="G9" s="36" t="n">
        <f aca="false">IFERROR(F9/$F$12,0)</f>
        <v>0.154473288993778</v>
      </c>
      <c r="H9" s="37" t="s">
        <v>107</v>
      </c>
    </row>
    <row r="10" customFormat="false" ht="15" hidden="false" customHeight="false" outlineLevel="0" collapsed="false">
      <c r="A10" s="33" t="s">
        <v>108</v>
      </c>
      <c r="B10" s="27" t="n">
        <v>1500</v>
      </c>
      <c r="C10" s="24" t="n">
        <v>10</v>
      </c>
      <c r="D10" s="25" t="n">
        <v>0.7</v>
      </c>
      <c r="E10" s="34" t="n">
        <f aca="false">ROUND(C10*D10,0)</f>
        <v>7</v>
      </c>
      <c r="F10" s="35" t="n">
        <f aca="false">B10*E10</f>
        <v>10500</v>
      </c>
      <c r="G10" s="36" t="n">
        <f aca="false">IFERROR(F10/$F$12,0)</f>
        <v>0.022527354644926</v>
      </c>
      <c r="H10" s="37" t="s">
        <v>109</v>
      </c>
    </row>
    <row r="11" customFormat="false" ht="15" hidden="false" customHeight="false" outlineLevel="0" collapsed="false">
      <c r="A11" s="33" t="s">
        <v>110</v>
      </c>
      <c r="B11" s="27" t="n">
        <v>0</v>
      </c>
      <c r="C11" s="24" t="n">
        <v>10</v>
      </c>
      <c r="D11" s="25" t="n">
        <v>1</v>
      </c>
      <c r="E11" s="34" t="n">
        <f aca="false">ROUND(C11*D11,0)</f>
        <v>10</v>
      </c>
      <c r="F11" s="35" t="n">
        <f aca="false">B11*E11</f>
        <v>0</v>
      </c>
      <c r="G11" s="36" t="n">
        <f aca="false">IFERROR(F11/$F$12,0)</f>
        <v>0</v>
      </c>
      <c r="H11" s="37" t="s">
        <v>111</v>
      </c>
    </row>
    <row r="12" customFormat="false" ht="15" hidden="false" customHeight="false" outlineLevel="0" collapsed="false">
      <c r="A12" s="38" t="s">
        <v>112</v>
      </c>
      <c r="B12" s="39"/>
      <c r="C12" s="40" t="n">
        <f aca="false">SUM(C6:C11)</f>
        <v>300</v>
      </c>
      <c r="D12" s="39"/>
      <c r="E12" s="40" t="n">
        <f aca="false">SUM(E6:E11)</f>
        <v>202</v>
      </c>
      <c r="F12" s="41" t="n">
        <f aca="false">SUM(F6:F11)</f>
        <v>466100</v>
      </c>
      <c r="G12" s="42" t="n">
        <f aca="false">SUM(G6:G11)</f>
        <v>1</v>
      </c>
      <c r="H12" s="39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9.5" hidden="false" customHeight="true" outlineLevel="0" collapsed="false">
      <c r="A14" s="8" t="s">
        <v>113</v>
      </c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0" collapsed="false">
      <c r="A15" s="7" t="s">
        <v>114</v>
      </c>
      <c r="B15" s="43" t="str">
        <f aca="false">IF(Билеты!$C$12=Вводные!$B$12,"OK — квоты сходятся с залом","ВНИМАНИЕ: квоты ("&amp;Билеты!$C$12&amp;") ≠ вместимость ("&amp;Вводные!$B$12&amp;")")</f>
        <v>OK — квоты сходятся с залом</v>
      </c>
      <c r="C15" s="4"/>
      <c r="D15" s="4"/>
      <c r="E15" s="4"/>
      <c r="F15" s="4"/>
      <c r="G15" s="4"/>
      <c r="H15" s="4"/>
    </row>
    <row r="16" customFormat="false" ht="15" hidden="false" customHeight="false" outlineLevel="0" collapsed="false">
      <c r="A16" s="7" t="s">
        <v>115</v>
      </c>
      <c r="B16" s="44" t="n">
        <f aca="false">Билеты!$E$12</f>
        <v>202</v>
      </c>
      <c r="C16" s="4"/>
      <c r="D16" s="4"/>
      <c r="E16" s="4"/>
      <c r="F16" s="4"/>
      <c r="G16" s="4"/>
      <c r="H16" s="4"/>
    </row>
    <row r="17" customFormat="false" ht="15" hidden="false" customHeight="false" outlineLevel="0" collapsed="false">
      <c r="A17" s="7" t="s">
        <v>116</v>
      </c>
      <c r="B17" s="45" t="n">
        <f aca="false">SUMIF(B6:B11,"&gt;0",E6:E11)</f>
        <v>192</v>
      </c>
      <c r="C17" s="4"/>
      <c r="D17" s="4"/>
      <c r="E17" s="4"/>
      <c r="F17" s="4"/>
      <c r="G17" s="4"/>
      <c r="H17" s="4"/>
    </row>
    <row r="18" customFormat="false" ht="15" hidden="false" customHeight="false" outlineLevel="0" collapsed="false">
      <c r="A18" s="7" t="s">
        <v>117</v>
      </c>
      <c r="B18" s="46" t="n">
        <f aca="false">Билеты!$F$12</f>
        <v>466100</v>
      </c>
      <c r="C18" s="4"/>
      <c r="D18" s="4"/>
      <c r="E18" s="4"/>
      <c r="F18" s="4"/>
      <c r="G18" s="4"/>
      <c r="H18" s="4"/>
    </row>
    <row r="19" customFormat="false" ht="15" hidden="false" customHeight="false" outlineLevel="0" collapsed="false">
      <c r="A19" s="7" t="s">
        <v>118</v>
      </c>
      <c r="B19" s="47" t="n">
        <f aca="false">IFERROR(Билеты!$F$12/Билеты!$B$17,0)</f>
        <v>2427.60416666667</v>
      </c>
      <c r="C19" s="4"/>
      <c r="D19" s="4"/>
      <c r="E19" s="4"/>
      <c r="F19" s="4"/>
      <c r="G19" s="4"/>
      <c r="H19" s="4"/>
    </row>
    <row r="20" customFormat="false" ht="15" hidden="false" customHeight="false" outlineLevel="0" collapsed="false">
      <c r="A20" s="7" t="s">
        <v>119</v>
      </c>
      <c r="B20" s="47" t="n">
        <f aca="false">IFERROR(Билеты!$F$12/Вводные!$B$12,0)</f>
        <v>1553.66666666667</v>
      </c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7" t="s">
        <v>120</v>
      </c>
      <c r="B21" s="28" t="n">
        <f aca="false">IFERROR(Билеты!$E$12/Вводные!$B$12,0)</f>
        <v>0.673333333333333</v>
      </c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7" t="s">
        <v>121</v>
      </c>
      <c r="B22" s="28" t="n">
        <f aca="false">IFERROR(Билеты!$B$17/Билеты!$E$12,0)</f>
        <v>0.950495049504951</v>
      </c>
      <c r="C22" s="4"/>
      <c r="D22" s="4"/>
      <c r="E22" s="4"/>
      <c r="F22" s="4"/>
      <c r="G22" s="4"/>
      <c r="H22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5" min="4" style="0" width="16"/>
    <col collapsed="false" customWidth="true" hidden="false" outlineLevel="0" max="6" min="6" style="0" width="62"/>
  </cols>
  <sheetData>
    <row r="1" customFormat="false" ht="30" hidden="false" customHeight="true" outlineLevel="0" collapsed="false">
      <c r="A1" s="1" t="s">
        <v>122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123</v>
      </c>
      <c r="B2" s="4"/>
      <c r="C2" s="4"/>
      <c r="D2" s="4"/>
      <c r="E2" s="4"/>
      <c r="F2" s="4"/>
    </row>
    <row r="3" customFormat="false" ht="15" hidden="false" customHeight="false" outlineLevel="0" collapsed="false">
      <c r="A3" s="4"/>
      <c r="B3" s="4"/>
      <c r="C3" s="4"/>
      <c r="D3" s="4"/>
      <c r="E3" s="4"/>
      <c r="F3" s="4"/>
    </row>
    <row r="4" customFormat="false" ht="30" hidden="false" customHeight="true" outlineLevel="0" collapsed="false">
      <c r="A4" s="32" t="s">
        <v>124</v>
      </c>
      <c r="B4" s="32" t="s">
        <v>125</v>
      </c>
      <c r="C4" s="32" t="s">
        <v>126</v>
      </c>
      <c r="D4" s="32" t="s">
        <v>127</v>
      </c>
      <c r="E4" s="32" t="s">
        <v>128</v>
      </c>
      <c r="F4" s="32" t="s">
        <v>99</v>
      </c>
    </row>
    <row r="5" customFormat="false" ht="15" hidden="false" customHeight="false" outlineLevel="0" collapsed="false">
      <c r="A5" s="33" t="s">
        <v>129</v>
      </c>
      <c r="B5" s="24" t="n">
        <v>1</v>
      </c>
      <c r="C5" s="48" t="s">
        <v>130</v>
      </c>
      <c r="D5" s="27" t="n">
        <v>20000</v>
      </c>
      <c r="E5" s="49" t="n">
        <f aca="false">B5*D5</f>
        <v>20000</v>
      </c>
      <c r="F5" s="37" t="s">
        <v>131</v>
      </c>
    </row>
    <row r="6" customFormat="false" ht="15" hidden="false" customHeight="false" outlineLevel="0" collapsed="false">
      <c r="A6" s="33" t="s">
        <v>132</v>
      </c>
      <c r="B6" s="24" t="n">
        <v>1</v>
      </c>
      <c r="C6" s="48" t="s">
        <v>133</v>
      </c>
      <c r="D6" s="27" t="n">
        <v>25000</v>
      </c>
      <c r="E6" s="49" t="n">
        <f aca="false">B6*D6</f>
        <v>25000</v>
      </c>
      <c r="F6" s="37" t="s">
        <v>134</v>
      </c>
    </row>
    <row r="7" customFormat="false" ht="15" hidden="false" customHeight="false" outlineLevel="0" collapsed="false">
      <c r="A7" s="33" t="s">
        <v>135</v>
      </c>
      <c r="B7" s="24" t="n">
        <v>1</v>
      </c>
      <c r="C7" s="48" t="s">
        <v>133</v>
      </c>
      <c r="D7" s="27" t="n">
        <v>8000</v>
      </c>
      <c r="E7" s="49" t="n">
        <f aca="false">B7*D7</f>
        <v>8000</v>
      </c>
      <c r="F7" s="37" t="s">
        <v>136</v>
      </c>
    </row>
    <row r="8" customFormat="false" ht="15" hidden="false" customHeight="false" outlineLevel="0" collapsed="false">
      <c r="A8" s="33" t="s">
        <v>137</v>
      </c>
      <c r="B8" s="24" t="n">
        <v>1</v>
      </c>
      <c r="C8" s="48" t="s">
        <v>133</v>
      </c>
      <c r="D8" s="27" t="n">
        <v>10000</v>
      </c>
      <c r="E8" s="49" t="n">
        <f aca="false">B8*D8</f>
        <v>10000</v>
      </c>
      <c r="F8" s="37" t="s">
        <v>138</v>
      </c>
    </row>
    <row r="9" customFormat="false" ht="15" hidden="false" customHeight="false" outlineLevel="0" collapsed="false">
      <c r="A9" s="33" t="s">
        <v>139</v>
      </c>
      <c r="B9" s="24" t="n">
        <v>1</v>
      </c>
      <c r="C9" s="48" t="s">
        <v>130</v>
      </c>
      <c r="D9" s="27" t="n">
        <v>15000</v>
      </c>
      <c r="E9" s="49" t="n">
        <f aca="false">B9*D9</f>
        <v>15000</v>
      </c>
      <c r="F9" s="37" t="s">
        <v>140</v>
      </c>
    </row>
    <row r="10" customFormat="false" ht="15" hidden="false" customHeight="false" outlineLevel="0" collapsed="false">
      <c r="A10" s="33" t="s">
        <v>141</v>
      </c>
      <c r="B10" s="24" t="n">
        <v>0</v>
      </c>
      <c r="C10" s="48" t="s">
        <v>130</v>
      </c>
      <c r="D10" s="27" t="n">
        <v>12000</v>
      </c>
      <c r="E10" s="49" t="n">
        <f aca="false">B10*D10</f>
        <v>0</v>
      </c>
      <c r="F10" s="37" t="s">
        <v>142</v>
      </c>
    </row>
    <row r="11" customFormat="false" ht="15" hidden="false" customHeight="false" outlineLevel="0" collapsed="false">
      <c r="A11" s="33" t="s">
        <v>143</v>
      </c>
      <c r="B11" s="24" t="n">
        <v>1</v>
      </c>
      <c r="C11" s="48" t="s">
        <v>133</v>
      </c>
      <c r="D11" s="27" t="n">
        <v>15000</v>
      </c>
      <c r="E11" s="49" t="n">
        <f aca="false">B11*D11</f>
        <v>15000</v>
      </c>
      <c r="F11" s="37"/>
    </row>
    <row r="12" customFormat="false" ht="15" hidden="false" customHeight="false" outlineLevel="0" collapsed="false">
      <c r="A12" s="33" t="s">
        <v>144</v>
      </c>
      <c r="B12" s="24" t="n">
        <v>1</v>
      </c>
      <c r="C12" s="48" t="s">
        <v>130</v>
      </c>
      <c r="D12" s="27" t="n">
        <v>8000</v>
      </c>
      <c r="E12" s="49" t="n">
        <f aca="false">B12*D12</f>
        <v>8000</v>
      </c>
      <c r="F12" s="37" t="s">
        <v>145</v>
      </c>
    </row>
    <row r="13" customFormat="false" ht="15" hidden="false" customHeight="false" outlineLevel="0" collapsed="false">
      <c r="A13" s="33" t="s">
        <v>146</v>
      </c>
      <c r="B13" s="24" t="n">
        <v>0</v>
      </c>
      <c r="C13" s="48" t="s">
        <v>133</v>
      </c>
      <c r="D13" s="27" t="n">
        <v>20000</v>
      </c>
      <c r="E13" s="49" t="n">
        <f aca="false">B13*D13</f>
        <v>0</v>
      </c>
      <c r="F13" s="37" t="s">
        <v>147</v>
      </c>
    </row>
    <row r="14" customFormat="false" ht="15" hidden="false" customHeight="false" outlineLevel="0" collapsed="false">
      <c r="A14" s="33" t="s">
        <v>148</v>
      </c>
      <c r="B14" s="24" t="n">
        <v>0</v>
      </c>
      <c r="C14" s="48" t="s">
        <v>133</v>
      </c>
      <c r="D14" s="27" t="n">
        <v>18000</v>
      </c>
      <c r="E14" s="49" t="n">
        <f aca="false">B14*D14</f>
        <v>0</v>
      </c>
      <c r="F14" s="37" t="s">
        <v>149</v>
      </c>
    </row>
    <row r="15" customFormat="false" ht="15" hidden="false" customHeight="false" outlineLevel="0" collapsed="false">
      <c r="A15" s="33" t="s">
        <v>150</v>
      </c>
      <c r="B15" s="24" t="n">
        <v>1</v>
      </c>
      <c r="C15" s="48" t="s">
        <v>133</v>
      </c>
      <c r="D15" s="27" t="n">
        <v>3000</v>
      </c>
      <c r="E15" s="49" t="n">
        <f aca="false">B15*D15</f>
        <v>3000</v>
      </c>
      <c r="F15" s="37"/>
    </row>
    <row r="16" customFormat="false" ht="15" hidden="false" customHeight="false" outlineLevel="0" collapsed="false">
      <c r="A16" s="33" t="s">
        <v>151</v>
      </c>
      <c r="B16" s="24" t="n">
        <v>3</v>
      </c>
      <c r="C16" s="48" t="s">
        <v>152</v>
      </c>
      <c r="D16" s="27" t="n">
        <v>3500</v>
      </c>
      <c r="E16" s="49" t="n">
        <f aca="false">B16*D16</f>
        <v>10500</v>
      </c>
      <c r="F16" s="37" t="s">
        <v>153</v>
      </c>
    </row>
    <row r="17" customFormat="false" ht="15" hidden="false" customHeight="false" outlineLevel="0" collapsed="false">
      <c r="A17" s="33" t="s">
        <v>154</v>
      </c>
      <c r="B17" s="24" t="n">
        <v>3</v>
      </c>
      <c r="C17" s="48" t="s">
        <v>152</v>
      </c>
      <c r="D17" s="27" t="n">
        <v>4000</v>
      </c>
      <c r="E17" s="49" t="n">
        <f aca="false">B17*D17</f>
        <v>12000</v>
      </c>
      <c r="F17" s="37" t="s">
        <v>155</v>
      </c>
    </row>
    <row r="18" customFormat="false" ht="15" hidden="false" customHeight="false" outlineLevel="0" collapsed="false">
      <c r="A18" s="33" t="s">
        <v>156</v>
      </c>
      <c r="B18" s="24" t="n">
        <v>3</v>
      </c>
      <c r="C18" s="48" t="s">
        <v>152</v>
      </c>
      <c r="D18" s="27" t="n">
        <v>3000</v>
      </c>
      <c r="E18" s="49" t="n">
        <f aca="false">B18*D18</f>
        <v>9000</v>
      </c>
      <c r="F18" s="37"/>
    </row>
    <row r="19" customFormat="false" ht="15" hidden="false" customHeight="false" outlineLevel="0" collapsed="false">
      <c r="A19" s="33" t="s">
        <v>157</v>
      </c>
      <c r="B19" s="24" t="n">
        <v>2</v>
      </c>
      <c r="C19" s="48" t="s">
        <v>152</v>
      </c>
      <c r="D19" s="27" t="n">
        <v>3000</v>
      </c>
      <c r="E19" s="49" t="n">
        <f aca="false">B19*D19</f>
        <v>6000</v>
      </c>
      <c r="F19" s="37"/>
    </row>
    <row r="20" customFormat="false" ht="15" hidden="false" customHeight="false" outlineLevel="0" collapsed="false">
      <c r="A20" s="33" t="s">
        <v>158</v>
      </c>
      <c r="B20" s="24" t="n">
        <v>1</v>
      </c>
      <c r="C20" s="48" t="s">
        <v>130</v>
      </c>
      <c r="D20" s="27" t="n">
        <v>5000</v>
      </c>
      <c r="E20" s="49" t="n">
        <f aca="false">B20*D20</f>
        <v>5000</v>
      </c>
      <c r="F20" s="37" t="s">
        <v>159</v>
      </c>
    </row>
    <row r="21" customFormat="false" ht="15" hidden="false" customHeight="false" outlineLevel="0" collapsed="false">
      <c r="A21" s="33" t="s">
        <v>160</v>
      </c>
      <c r="B21" s="24" t="n">
        <v>1</v>
      </c>
      <c r="C21" s="48" t="s">
        <v>130</v>
      </c>
      <c r="D21" s="27" t="n">
        <v>8000</v>
      </c>
      <c r="E21" s="49" t="n">
        <f aca="false">B21*D21</f>
        <v>8000</v>
      </c>
      <c r="F21" s="37"/>
    </row>
    <row r="22" customFormat="false" ht="21.75" hidden="false" customHeight="true" outlineLevel="0" collapsed="false">
      <c r="A22" s="50" t="s">
        <v>112</v>
      </c>
      <c r="B22" s="51"/>
      <c r="C22" s="51"/>
      <c r="D22" s="51"/>
      <c r="E22" s="52" t="n">
        <f aca="false">SUM(E5:E21)</f>
        <v>154500</v>
      </c>
      <c r="F22" s="5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5" min="4" style="0" width="16"/>
    <col collapsed="false" customWidth="true" hidden="false" outlineLevel="0" max="6" min="6" style="0" width="62"/>
  </cols>
  <sheetData>
    <row r="1" customFormat="false" ht="30" hidden="false" customHeight="true" outlineLevel="0" collapsed="false">
      <c r="A1" s="1" t="s">
        <v>161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162</v>
      </c>
      <c r="B2" s="4"/>
      <c r="C2" s="4"/>
      <c r="D2" s="4"/>
      <c r="E2" s="4"/>
      <c r="F2" s="4"/>
    </row>
    <row r="3" customFormat="false" ht="15" hidden="false" customHeight="false" outlineLevel="0" collapsed="false">
      <c r="A3" s="4"/>
      <c r="B3" s="4"/>
      <c r="C3" s="4"/>
      <c r="D3" s="4"/>
      <c r="E3" s="4"/>
      <c r="F3" s="4"/>
    </row>
    <row r="4" customFormat="false" ht="30" hidden="false" customHeight="true" outlineLevel="0" collapsed="false">
      <c r="A4" s="32" t="s">
        <v>124</v>
      </c>
      <c r="B4" s="32" t="s">
        <v>125</v>
      </c>
      <c r="C4" s="32" t="s">
        <v>126</v>
      </c>
      <c r="D4" s="32" t="s">
        <v>127</v>
      </c>
      <c r="E4" s="32" t="s">
        <v>128</v>
      </c>
      <c r="F4" s="32" t="s">
        <v>99</v>
      </c>
    </row>
    <row r="5" customFormat="false" ht="15" hidden="false" customHeight="false" outlineLevel="0" collapsed="false">
      <c r="A5" s="33" t="s">
        <v>163</v>
      </c>
      <c r="B5" s="24" t="n">
        <v>1</v>
      </c>
      <c r="C5" s="48" t="s">
        <v>164</v>
      </c>
      <c r="D5" s="27" t="n">
        <v>25000</v>
      </c>
      <c r="E5" s="49" t="n">
        <f aca="false">B5*D5</f>
        <v>25000</v>
      </c>
      <c r="F5" s="37" t="s">
        <v>165</v>
      </c>
    </row>
    <row r="6" customFormat="false" ht="15" hidden="false" customHeight="false" outlineLevel="0" collapsed="false">
      <c r="A6" s="33" t="s">
        <v>166</v>
      </c>
      <c r="B6" s="24" t="n">
        <v>1</v>
      </c>
      <c r="C6" s="48" t="s">
        <v>164</v>
      </c>
      <c r="D6" s="27" t="n">
        <v>8000</v>
      </c>
      <c r="E6" s="49" t="n">
        <f aca="false">B6*D6</f>
        <v>8000</v>
      </c>
      <c r="F6" s="37"/>
    </row>
    <row r="7" customFormat="false" ht="15" hidden="false" customHeight="false" outlineLevel="0" collapsed="false">
      <c r="A7" s="33" t="s">
        <v>167</v>
      </c>
      <c r="B7" s="24" t="n">
        <v>1</v>
      </c>
      <c r="C7" s="48" t="s">
        <v>164</v>
      </c>
      <c r="D7" s="27" t="n">
        <v>8000</v>
      </c>
      <c r="E7" s="49" t="n">
        <f aca="false">B7*D7</f>
        <v>8000</v>
      </c>
      <c r="F7" s="37"/>
    </row>
    <row r="8" customFormat="false" ht="15" hidden="false" customHeight="false" outlineLevel="0" collapsed="false">
      <c r="A8" s="33" t="s">
        <v>168</v>
      </c>
      <c r="B8" s="24" t="n">
        <v>1</v>
      </c>
      <c r="C8" s="48" t="s">
        <v>164</v>
      </c>
      <c r="D8" s="27" t="n">
        <v>8000</v>
      </c>
      <c r="E8" s="49" t="n">
        <f aca="false">B8*D8</f>
        <v>8000</v>
      </c>
      <c r="F8" s="37"/>
    </row>
    <row r="9" customFormat="false" ht="15" hidden="false" customHeight="false" outlineLevel="0" collapsed="false">
      <c r="A9" s="33" t="s">
        <v>169</v>
      </c>
      <c r="B9" s="24" t="n">
        <v>0</v>
      </c>
      <c r="C9" s="48" t="s">
        <v>164</v>
      </c>
      <c r="D9" s="27" t="n">
        <v>8000</v>
      </c>
      <c r="E9" s="49" t="n">
        <f aca="false">B9*D9</f>
        <v>0</v>
      </c>
      <c r="F9" s="37" t="s">
        <v>170</v>
      </c>
    </row>
    <row r="10" customFormat="false" ht="15" hidden="false" customHeight="false" outlineLevel="0" collapsed="false">
      <c r="A10" s="33" t="s">
        <v>171</v>
      </c>
      <c r="B10" s="24" t="n">
        <v>0</v>
      </c>
      <c r="C10" s="48" t="s">
        <v>164</v>
      </c>
      <c r="D10" s="27" t="n">
        <v>10000</v>
      </c>
      <c r="E10" s="49" t="n">
        <f aca="false">B10*D10</f>
        <v>0</v>
      </c>
      <c r="F10" s="37" t="s">
        <v>172</v>
      </c>
    </row>
    <row r="11" customFormat="false" ht="15" hidden="false" customHeight="false" outlineLevel="0" collapsed="false">
      <c r="A11" s="33" t="s">
        <v>173</v>
      </c>
      <c r="B11" s="24" t="n">
        <v>0</v>
      </c>
      <c r="C11" s="48" t="s">
        <v>164</v>
      </c>
      <c r="D11" s="27" t="n">
        <v>8000</v>
      </c>
      <c r="E11" s="49" t="n">
        <f aca="false">B11*D11</f>
        <v>0</v>
      </c>
      <c r="F11" s="37"/>
    </row>
    <row r="12" customFormat="false" ht="15" hidden="false" customHeight="false" outlineLevel="0" collapsed="false">
      <c r="A12" s="33" t="s">
        <v>174</v>
      </c>
      <c r="B12" s="24" t="n">
        <v>0</v>
      </c>
      <c r="C12" s="48" t="s">
        <v>133</v>
      </c>
      <c r="D12" s="27" t="n">
        <v>15000</v>
      </c>
      <c r="E12" s="49" t="n">
        <f aca="false">B12*D12</f>
        <v>0</v>
      </c>
      <c r="F12" s="37" t="s">
        <v>175</v>
      </c>
    </row>
    <row r="13" customFormat="false" ht="21.75" hidden="false" customHeight="true" outlineLevel="0" collapsed="false">
      <c r="A13" s="50" t="s">
        <v>112</v>
      </c>
      <c r="B13" s="51"/>
      <c r="C13" s="51"/>
      <c r="D13" s="51"/>
      <c r="E13" s="52" t="n">
        <f aca="false">SUM(E5:E12)</f>
        <v>49000</v>
      </c>
      <c r="F13" s="5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5" min="4" style="0" width="16"/>
    <col collapsed="false" customWidth="true" hidden="false" outlineLevel="0" max="6" min="6" style="0" width="62"/>
  </cols>
  <sheetData>
    <row r="1" customFormat="false" ht="30" hidden="false" customHeight="true" outlineLevel="0" collapsed="false">
      <c r="A1" s="1" t="s">
        <v>176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177</v>
      </c>
      <c r="B2" s="4"/>
      <c r="C2" s="4"/>
      <c r="D2" s="4"/>
      <c r="E2" s="4"/>
      <c r="F2" s="4"/>
    </row>
    <row r="3" customFormat="false" ht="15" hidden="false" customHeight="false" outlineLevel="0" collapsed="false">
      <c r="A3" s="4"/>
      <c r="B3" s="4"/>
      <c r="C3" s="4"/>
      <c r="D3" s="4"/>
      <c r="E3" s="4"/>
      <c r="F3" s="4"/>
    </row>
    <row r="4" customFormat="false" ht="30" hidden="false" customHeight="true" outlineLevel="0" collapsed="false">
      <c r="A4" s="32" t="s">
        <v>124</v>
      </c>
      <c r="B4" s="32" t="s">
        <v>125</v>
      </c>
      <c r="C4" s="32" t="s">
        <v>126</v>
      </c>
      <c r="D4" s="32" t="s">
        <v>127</v>
      </c>
      <c r="E4" s="32" t="s">
        <v>128</v>
      </c>
      <c r="F4" s="32" t="s">
        <v>99</v>
      </c>
    </row>
    <row r="5" customFormat="false" ht="15" hidden="false" customHeight="false" outlineLevel="0" collapsed="false">
      <c r="A5" s="33" t="s">
        <v>178</v>
      </c>
      <c r="B5" s="24" t="n">
        <v>0</v>
      </c>
      <c r="C5" s="48" t="s">
        <v>133</v>
      </c>
      <c r="D5" s="27" t="n">
        <v>40000</v>
      </c>
      <c r="E5" s="49" t="n">
        <f aca="false">B5*D5</f>
        <v>0</v>
      </c>
      <c r="F5" s="37" t="s">
        <v>179</v>
      </c>
    </row>
    <row r="6" customFormat="false" ht="15" hidden="false" customHeight="false" outlineLevel="0" collapsed="false">
      <c r="A6" s="33" t="s">
        <v>180</v>
      </c>
      <c r="B6" s="24" t="n">
        <v>1</v>
      </c>
      <c r="C6" s="48" t="s">
        <v>181</v>
      </c>
      <c r="D6" s="27" t="n">
        <v>12000</v>
      </c>
      <c r="E6" s="49" t="n">
        <f aca="false">B6*D6</f>
        <v>12000</v>
      </c>
      <c r="F6" s="37" t="s">
        <v>182</v>
      </c>
    </row>
    <row r="7" customFormat="false" ht="15" hidden="false" customHeight="false" outlineLevel="0" collapsed="false">
      <c r="A7" s="33" t="s">
        <v>183</v>
      </c>
      <c r="B7" s="24" t="n">
        <v>1</v>
      </c>
      <c r="C7" s="48" t="s">
        <v>181</v>
      </c>
      <c r="D7" s="27" t="n">
        <v>5000</v>
      </c>
      <c r="E7" s="49" t="n">
        <f aca="false">B7*D7</f>
        <v>5000</v>
      </c>
      <c r="F7" s="37"/>
    </row>
    <row r="8" customFormat="false" ht="15" hidden="false" customHeight="false" outlineLevel="0" collapsed="false">
      <c r="A8" s="33" t="s">
        <v>184</v>
      </c>
      <c r="B8" s="24" t="n">
        <v>0</v>
      </c>
      <c r="C8" s="48" t="s">
        <v>133</v>
      </c>
      <c r="D8" s="27" t="n">
        <v>15000</v>
      </c>
      <c r="E8" s="49" t="n">
        <f aca="false">B8*D8</f>
        <v>0</v>
      </c>
      <c r="F8" s="37" t="s">
        <v>185</v>
      </c>
    </row>
    <row r="9" customFormat="false" ht="15" hidden="false" customHeight="false" outlineLevel="0" collapsed="false">
      <c r="A9" s="33" t="s">
        <v>186</v>
      </c>
      <c r="B9" s="24" t="n">
        <v>2</v>
      </c>
      <c r="C9" s="48" t="s">
        <v>130</v>
      </c>
      <c r="D9" s="27" t="n">
        <v>6000</v>
      </c>
      <c r="E9" s="49" t="n">
        <f aca="false">B9*D9</f>
        <v>12000</v>
      </c>
      <c r="F9" s="37"/>
    </row>
    <row r="10" customFormat="false" ht="15" hidden="false" customHeight="false" outlineLevel="0" collapsed="false">
      <c r="A10" s="33" t="s">
        <v>187</v>
      </c>
      <c r="B10" s="24" t="n">
        <v>2</v>
      </c>
      <c r="C10" s="48" t="s">
        <v>188</v>
      </c>
      <c r="D10" s="27" t="n">
        <v>6000</v>
      </c>
      <c r="E10" s="49" t="n">
        <f aca="false">B10*D10</f>
        <v>12000</v>
      </c>
      <c r="F10" s="37" t="s">
        <v>189</v>
      </c>
    </row>
    <row r="11" customFormat="false" ht="15" hidden="false" customHeight="false" outlineLevel="0" collapsed="false">
      <c r="A11" s="33" t="s">
        <v>190</v>
      </c>
      <c r="B11" s="24" t="n">
        <v>0</v>
      </c>
      <c r="C11" s="48" t="s">
        <v>133</v>
      </c>
      <c r="D11" s="27" t="n">
        <v>25000</v>
      </c>
      <c r="E11" s="49" t="n">
        <f aca="false">B11*D11</f>
        <v>0</v>
      </c>
      <c r="F11" s="37" t="s">
        <v>191</v>
      </c>
    </row>
    <row r="12" customFormat="false" ht="15" hidden="false" customHeight="false" outlineLevel="0" collapsed="false">
      <c r="A12" s="33" t="s">
        <v>192</v>
      </c>
      <c r="B12" s="24" t="n">
        <v>15</v>
      </c>
      <c r="C12" s="48" t="s">
        <v>152</v>
      </c>
      <c r="D12" s="27" t="n">
        <v>700</v>
      </c>
      <c r="E12" s="49" t="n">
        <f aca="false">B12*D12</f>
        <v>10500</v>
      </c>
      <c r="F12" s="37" t="s">
        <v>193</v>
      </c>
    </row>
    <row r="13" customFormat="false" ht="15" hidden="false" customHeight="false" outlineLevel="0" collapsed="false">
      <c r="A13" s="33" t="s">
        <v>194</v>
      </c>
      <c r="B13" s="24" t="n">
        <v>1</v>
      </c>
      <c r="C13" s="48" t="s">
        <v>130</v>
      </c>
      <c r="D13" s="27" t="n">
        <v>12000</v>
      </c>
      <c r="E13" s="49" t="n">
        <f aca="false">B13*D13</f>
        <v>12000</v>
      </c>
      <c r="F13" s="37" t="s">
        <v>195</v>
      </c>
    </row>
    <row r="14" customFormat="false" ht="15" hidden="false" customHeight="false" outlineLevel="0" collapsed="false">
      <c r="A14" s="33" t="s">
        <v>196</v>
      </c>
      <c r="B14" s="24" t="n">
        <v>0</v>
      </c>
      <c r="C14" s="48" t="s">
        <v>130</v>
      </c>
      <c r="D14" s="27" t="n">
        <v>25000</v>
      </c>
      <c r="E14" s="49" t="n">
        <f aca="false">B14*D14</f>
        <v>0</v>
      </c>
      <c r="F14" s="37" t="s">
        <v>197</v>
      </c>
    </row>
    <row r="15" customFormat="false" ht="15" hidden="false" customHeight="false" outlineLevel="0" collapsed="false">
      <c r="A15" s="33" t="s">
        <v>198</v>
      </c>
      <c r="B15" s="24" t="n">
        <v>1</v>
      </c>
      <c r="C15" s="48" t="s">
        <v>199</v>
      </c>
      <c r="D15" s="27" t="n">
        <v>6000</v>
      </c>
      <c r="E15" s="49" t="n">
        <f aca="false">B15*D15</f>
        <v>6000</v>
      </c>
      <c r="F15" s="37" t="s">
        <v>200</v>
      </c>
    </row>
    <row r="16" customFormat="false" ht="15" hidden="false" customHeight="false" outlineLevel="0" collapsed="false">
      <c r="A16" s="33" t="s">
        <v>201</v>
      </c>
      <c r="B16" s="24" t="n">
        <v>0</v>
      </c>
      <c r="C16" s="48" t="s">
        <v>199</v>
      </c>
      <c r="D16" s="27" t="n">
        <v>3000</v>
      </c>
      <c r="E16" s="49" t="n">
        <f aca="false">B16*D16</f>
        <v>0</v>
      </c>
      <c r="F16" s="37" t="s">
        <v>202</v>
      </c>
    </row>
    <row r="17" customFormat="false" ht="15" hidden="false" customHeight="false" outlineLevel="0" collapsed="false">
      <c r="A17" s="33" t="s">
        <v>203</v>
      </c>
      <c r="B17" s="24" t="n">
        <v>0</v>
      </c>
      <c r="C17" s="48" t="s">
        <v>204</v>
      </c>
      <c r="D17" s="27" t="n">
        <v>12000</v>
      </c>
      <c r="E17" s="49" t="n">
        <f aca="false">B17*D17</f>
        <v>0</v>
      </c>
      <c r="F17" s="37" t="s">
        <v>205</v>
      </c>
    </row>
    <row r="18" customFormat="false" ht="15" hidden="false" customHeight="false" outlineLevel="0" collapsed="false">
      <c r="A18" s="33" t="s">
        <v>206</v>
      </c>
      <c r="B18" s="53"/>
      <c r="C18" s="53"/>
      <c r="D18" s="53"/>
      <c r="E18" s="49" t="n">
        <f aca="false">SUM(E5:E17)*Вводные!$B$42</f>
        <v>6950</v>
      </c>
      <c r="F18" s="37" t="s">
        <v>207</v>
      </c>
    </row>
    <row r="19" customFormat="false" ht="21.75" hidden="false" customHeight="true" outlineLevel="0" collapsed="false">
      <c r="A19" s="50" t="s">
        <v>112</v>
      </c>
      <c r="B19" s="51"/>
      <c r="C19" s="51"/>
      <c r="D19" s="51"/>
      <c r="E19" s="52" t="n">
        <f aca="false">SUM(E5:E18)</f>
        <v>76450</v>
      </c>
      <c r="F19" s="5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54"/>
  </cols>
  <sheetData>
    <row r="1" customFormat="false" ht="30" hidden="false" customHeight="true" outlineLevel="0" collapsed="false">
      <c r="A1" s="1" t="s">
        <v>208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209</v>
      </c>
      <c r="B2" s="4"/>
      <c r="C2" s="4"/>
      <c r="D2" s="4"/>
      <c r="E2" s="4"/>
      <c r="F2" s="4"/>
      <c r="G2" s="4"/>
      <c r="H2" s="4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</row>
    <row r="4" customFormat="false" ht="19.5" hidden="false" customHeight="true" outlineLevel="0" collapsed="false">
      <c r="A4" s="8" t="s">
        <v>210</v>
      </c>
      <c r="B4" s="9"/>
      <c r="C4" s="9"/>
      <c r="D4" s="9"/>
      <c r="E4" s="9"/>
      <c r="F4" s="9"/>
      <c r="G4" s="9"/>
      <c r="H4" s="9"/>
    </row>
    <row r="5" customFormat="false" ht="30" hidden="false" customHeight="true" outlineLevel="0" collapsed="false">
      <c r="A5" s="32" t="s">
        <v>211</v>
      </c>
      <c r="B5" s="32" t="s">
        <v>212</v>
      </c>
      <c r="C5" s="32" t="s">
        <v>213</v>
      </c>
      <c r="D5" s="32" t="s">
        <v>214</v>
      </c>
      <c r="E5" s="32" t="s">
        <v>215</v>
      </c>
      <c r="F5" s="32" t="s">
        <v>216</v>
      </c>
      <c r="G5" s="32" t="s">
        <v>217</v>
      </c>
      <c r="H5" s="32" t="s">
        <v>99</v>
      </c>
    </row>
    <row r="6" customFormat="false" ht="15" hidden="false" customHeight="false" outlineLevel="0" collapsed="false">
      <c r="A6" s="33" t="s">
        <v>218</v>
      </c>
      <c r="B6" s="27" t="n">
        <v>20000</v>
      </c>
      <c r="C6" s="24" t="n">
        <v>120000</v>
      </c>
      <c r="D6" s="54" t="n">
        <v>0.012</v>
      </c>
      <c r="E6" s="54" t="n">
        <v>0.03</v>
      </c>
      <c r="F6" s="34" t="n">
        <f aca="false">ROUND(C6*D6*E6,0)</f>
        <v>43</v>
      </c>
      <c r="G6" s="35" t="n">
        <f aca="false">IFERROR(B6/F6,0)</f>
        <v>465.116279069767</v>
      </c>
      <c r="H6" s="37" t="s">
        <v>219</v>
      </c>
    </row>
    <row r="7" customFormat="false" ht="15" hidden="false" customHeight="false" outlineLevel="0" collapsed="false">
      <c r="A7" s="33" t="s">
        <v>220</v>
      </c>
      <c r="B7" s="27" t="n">
        <v>15000</v>
      </c>
      <c r="C7" s="24" t="n">
        <v>55000</v>
      </c>
      <c r="D7" s="54" t="n">
        <v>0.02</v>
      </c>
      <c r="E7" s="54" t="n">
        <v>0.04</v>
      </c>
      <c r="F7" s="34" t="n">
        <f aca="false">ROUND(C7*D7*E7,0)</f>
        <v>44</v>
      </c>
      <c r="G7" s="35" t="n">
        <f aca="false">IFERROR(B7/F7,0)</f>
        <v>340.909090909091</v>
      </c>
      <c r="H7" s="37" t="s">
        <v>221</v>
      </c>
    </row>
    <row r="8" customFormat="false" ht="15" hidden="false" customHeight="false" outlineLevel="0" collapsed="false">
      <c r="A8" s="33" t="s">
        <v>222</v>
      </c>
      <c r="B8" s="27" t="n">
        <v>10000</v>
      </c>
      <c r="C8" s="24" t="n">
        <v>35000</v>
      </c>
      <c r="D8" s="54" t="n">
        <v>0.025</v>
      </c>
      <c r="E8" s="54" t="n">
        <v>0.035</v>
      </c>
      <c r="F8" s="34" t="n">
        <f aca="false">ROUND(C8*D8*E8,0)</f>
        <v>31</v>
      </c>
      <c r="G8" s="35" t="n">
        <f aca="false">IFERROR(B8/F8,0)</f>
        <v>322.58064516129</v>
      </c>
      <c r="H8" s="37" t="s">
        <v>223</v>
      </c>
    </row>
    <row r="9" customFormat="false" ht="15" hidden="false" customHeight="false" outlineLevel="0" collapsed="false">
      <c r="A9" s="33" t="s">
        <v>224</v>
      </c>
      <c r="B9" s="27" t="n">
        <v>5000</v>
      </c>
      <c r="C9" s="24" t="n">
        <v>20000</v>
      </c>
      <c r="D9" s="54" t="n">
        <v>0.005</v>
      </c>
      <c r="E9" s="54" t="n">
        <v>0.05</v>
      </c>
      <c r="F9" s="34" t="n">
        <f aca="false">ROUND(C9*D9*E9,0)</f>
        <v>5</v>
      </c>
      <c r="G9" s="35" t="n">
        <f aca="false">IFERROR(B9/F9,0)</f>
        <v>1000</v>
      </c>
      <c r="H9" s="37" t="s">
        <v>225</v>
      </c>
    </row>
    <row r="10" customFormat="false" ht="15" hidden="false" customHeight="false" outlineLevel="0" collapsed="false">
      <c r="A10" s="33" t="s">
        <v>226</v>
      </c>
      <c r="B10" s="27" t="n">
        <v>0</v>
      </c>
      <c r="C10" s="24" t="n">
        <v>25000</v>
      </c>
      <c r="D10" s="54" t="n">
        <v>0.01</v>
      </c>
      <c r="E10" s="54" t="n">
        <v>0.04</v>
      </c>
      <c r="F10" s="34" t="n">
        <f aca="false">ROUND(C10*D10*E10,0)</f>
        <v>10</v>
      </c>
      <c r="G10" s="35" t="n">
        <f aca="false">IFERROR(B10/F10,0)</f>
        <v>0</v>
      </c>
      <c r="H10" s="37" t="s">
        <v>227</v>
      </c>
    </row>
    <row r="11" customFormat="false" ht="15" hidden="false" customHeight="false" outlineLevel="0" collapsed="false">
      <c r="A11" s="33" t="s">
        <v>228</v>
      </c>
      <c r="B11" s="27" t="n">
        <v>3000</v>
      </c>
      <c r="C11" s="24" t="n">
        <v>15000</v>
      </c>
      <c r="D11" s="54" t="n">
        <v>0.01</v>
      </c>
      <c r="E11" s="54" t="n">
        <v>0.03</v>
      </c>
      <c r="F11" s="34" t="n">
        <f aca="false">ROUND(C11*D11*E11,0)</f>
        <v>5</v>
      </c>
      <c r="G11" s="35" t="n">
        <f aca="false">IFERROR(B11/F11,0)</f>
        <v>600</v>
      </c>
      <c r="H11" s="37" t="s">
        <v>229</v>
      </c>
    </row>
    <row r="12" customFormat="false" ht="15" hidden="false" customHeight="false" outlineLevel="0" collapsed="false">
      <c r="A12" s="33" t="s">
        <v>230</v>
      </c>
      <c r="B12" s="27" t="n">
        <v>1000</v>
      </c>
      <c r="C12" s="24" t="n">
        <v>6000</v>
      </c>
      <c r="D12" s="54" t="n">
        <v>0.12</v>
      </c>
      <c r="E12" s="54" t="n">
        <v>0.08</v>
      </c>
      <c r="F12" s="34" t="n">
        <f aca="false">ROUND(C12*D12*E12,0)</f>
        <v>58</v>
      </c>
      <c r="G12" s="35" t="n">
        <f aca="false">IFERROR(B12/F12,0)</f>
        <v>17.2413793103448</v>
      </c>
      <c r="H12" s="37" t="s">
        <v>231</v>
      </c>
    </row>
    <row r="13" customFormat="false" ht="15" hidden="false" customHeight="false" outlineLevel="0" collapsed="false">
      <c r="A13" s="33" t="s">
        <v>232</v>
      </c>
      <c r="B13" s="27" t="n">
        <v>6000</v>
      </c>
      <c r="C13" s="24" t="n">
        <v>0</v>
      </c>
      <c r="D13" s="54" t="n">
        <v>0</v>
      </c>
      <c r="E13" s="54" t="n">
        <v>0</v>
      </c>
      <c r="F13" s="34" t="n">
        <f aca="false">ROUND(C13*D13*E13,0)</f>
        <v>0</v>
      </c>
      <c r="G13" s="35" t="n">
        <f aca="false">IFERROR(B13/F13,0)</f>
        <v>0</v>
      </c>
      <c r="H13" s="37" t="s">
        <v>233</v>
      </c>
    </row>
    <row r="14" customFormat="false" ht="21.75" hidden="false" customHeight="true" outlineLevel="0" collapsed="false">
      <c r="A14" s="50" t="s">
        <v>234</v>
      </c>
      <c r="B14" s="52" t="n">
        <f aca="false">SUM(B6:B13)</f>
        <v>60000</v>
      </c>
      <c r="C14" s="55" t="n">
        <f aca="false">SUM(C6:C13)</f>
        <v>276000</v>
      </c>
      <c r="D14" s="51"/>
      <c r="E14" s="51"/>
      <c r="F14" s="55" t="n">
        <f aca="false">SUM(F6:F13)</f>
        <v>196</v>
      </c>
      <c r="G14" s="52" t="n">
        <f aca="false">IFERROR(B14/F14,0)</f>
        <v>306.122448979592</v>
      </c>
      <c r="H14" s="51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</row>
    <row r="16" customFormat="false" ht="19.5" hidden="false" customHeight="true" outlineLevel="0" collapsed="false">
      <c r="A16" s="8" t="s">
        <v>235</v>
      </c>
      <c r="B16" s="9"/>
      <c r="C16" s="9"/>
      <c r="D16" s="9"/>
      <c r="E16" s="9"/>
      <c r="F16" s="9"/>
      <c r="G16" s="9"/>
      <c r="H16" s="9"/>
    </row>
    <row r="17" customFormat="false" ht="15" hidden="false" customHeight="false" outlineLevel="0" collapsed="false">
      <c r="A17" s="7" t="s">
        <v>236</v>
      </c>
      <c r="B17" s="46" t="n">
        <f aca="false">Маркетинг!$B$14</f>
        <v>60000</v>
      </c>
      <c r="C17" s="4"/>
      <c r="D17" s="4"/>
      <c r="E17" s="4"/>
      <c r="F17" s="4"/>
      <c r="G17" s="4"/>
      <c r="H17" s="4"/>
    </row>
    <row r="18" customFormat="false" ht="15" hidden="false" customHeight="false" outlineLevel="0" collapsed="false">
      <c r="A18" s="7" t="s">
        <v>237</v>
      </c>
      <c r="B18" s="44" t="n">
        <f aca="false">Маркетинг!$F$14</f>
        <v>196</v>
      </c>
      <c r="C18" s="4"/>
      <c r="D18" s="4"/>
      <c r="E18" s="4"/>
      <c r="F18" s="4"/>
      <c r="G18" s="4"/>
      <c r="H18" s="4"/>
    </row>
    <row r="19" customFormat="false" ht="15" hidden="false" customHeight="false" outlineLevel="0" collapsed="false">
      <c r="A19" s="7" t="s">
        <v>238</v>
      </c>
      <c r="B19" s="44" t="n">
        <f aca="false">Билеты!$B$17</f>
        <v>192</v>
      </c>
      <c r="C19" s="4"/>
      <c r="D19" s="4"/>
      <c r="E19" s="4"/>
      <c r="F19" s="4"/>
      <c r="G19" s="4"/>
      <c r="H19" s="4"/>
    </row>
    <row r="20" customFormat="false" ht="15" hidden="false" customHeight="false" outlineLevel="0" collapsed="false">
      <c r="A20" s="7" t="s">
        <v>239</v>
      </c>
      <c r="B20" s="28" t="n">
        <f aca="false">IFERROR(Маркетинг!$F$14/Билеты!$B$17,0)</f>
        <v>1.02083333333333</v>
      </c>
      <c r="C20" s="3" t="s">
        <v>240</v>
      </c>
      <c r="D20" s="4"/>
      <c r="E20" s="4"/>
      <c r="F20" s="4"/>
      <c r="G20" s="4"/>
      <c r="H20" s="4"/>
    </row>
    <row r="21" customFormat="false" ht="15" hidden="false" customHeight="false" outlineLevel="0" collapsed="false">
      <c r="A21" s="7" t="s">
        <v>241</v>
      </c>
      <c r="B21" s="28" t="n">
        <f aca="false">IFERROR(Маркетинг!$G$14/Билеты!$B$19,0)</f>
        <v>0.126100644076554</v>
      </c>
      <c r="C21" s="3" t="s">
        <v>242</v>
      </c>
      <c r="D21" s="4"/>
      <c r="E21" s="4"/>
      <c r="F21" s="4"/>
      <c r="G21" s="4"/>
      <c r="H21" s="4"/>
    </row>
    <row r="22" customFormat="false" ht="15" hidden="false" customHeight="false" outlineLevel="0" collapsed="false">
      <c r="A22" s="7" t="s">
        <v>243</v>
      </c>
      <c r="B22" s="28" t="n">
        <f aca="false">IFERROR(Маркетинг!$B$14/Билеты!$F$12,0)</f>
        <v>0.128727740828148</v>
      </c>
      <c r="C22" s="3" t="s">
        <v>244</v>
      </c>
      <c r="D22" s="4"/>
      <c r="E22" s="4"/>
      <c r="F22" s="4"/>
      <c r="G22" s="4"/>
      <c r="H22" s="4"/>
    </row>
    <row r="23" customFormat="false" ht="15" hidden="false" customHeight="false" outlineLevel="0" collapsed="false">
      <c r="A23" s="7" t="s">
        <v>245</v>
      </c>
      <c r="B23" s="43" t="str">
        <f aca="false">IF(Маркетинг!$B$22&gt;0.2,"ПЕРЕРАСХОД: маркетинг забирает больше 20% сбора",IF(Маркетинг!$B$20&lt;1,"РИСК: маркетинг не покрывает план продаж","Норма: бюджет и план продаж сбалансированы"))</f>
        <v>Норма: бюджет и план продаж сбалансированы</v>
      </c>
      <c r="C23" s="4"/>
      <c r="D23" s="4"/>
      <c r="E23" s="4"/>
      <c r="F23" s="4"/>
      <c r="G23" s="4"/>
      <c r="H23" s="4"/>
    </row>
  </sheetData>
  <conditionalFormatting sqref="B23">
    <cfRule type="expression" priority="2" aboveAverage="0" equalAverage="0" bottom="0" percent="0" rank="0" text="" dxfId="0">
      <formula>$B$23&lt;&gt;"Норма: бюджет и план продаж сбалансированы"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5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60"/>
  </cols>
  <sheetData>
    <row r="1" customFormat="false" ht="30" hidden="false" customHeight="true" outlineLevel="0" collapsed="false">
      <c r="A1" s="1" t="s">
        <v>246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247</v>
      </c>
      <c r="B2" s="4"/>
      <c r="C2" s="4"/>
      <c r="D2" s="4"/>
      <c r="E2" s="4"/>
      <c r="F2" s="4"/>
      <c r="G2" s="4"/>
      <c r="H2" s="4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</row>
    <row r="4" customFormat="false" ht="30" hidden="false" customHeight="true" outlineLevel="0" collapsed="false">
      <c r="A4" s="32" t="s">
        <v>248</v>
      </c>
      <c r="B4" s="32" t="s">
        <v>249</v>
      </c>
      <c r="C4" s="32" t="s">
        <v>128</v>
      </c>
      <c r="D4" s="32" t="s">
        <v>250</v>
      </c>
      <c r="E4" s="32" t="s">
        <v>99</v>
      </c>
      <c r="F4" s="4"/>
      <c r="G4" s="4"/>
      <c r="H4" s="4"/>
    </row>
    <row r="5" customFormat="false" ht="19.5" hidden="false" customHeight="true" outlineLevel="0" collapsed="false">
      <c r="A5" s="8" t="s">
        <v>251</v>
      </c>
      <c r="B5" s="9"/>
      <c r="C5" s="9"/>
      <c r="D5" s="9"/>
      <c r="E5" s="9"/>
      <c r="F5" s="4"/>
      <c r="G5" s="4"/>
      <c r="H5" s="4"/>
    </row>
    <row r="6" customFormat="false" ht="15" hidden="false" customHeight="false" outlineLevel="0" collapsed="false">
      <c r="A6" s="56" t="s">
        <v>252</v>
      </c>
      <c r="B6" s="39"/>
      <c r="C6" s="57" t="n">
        <f aca="false">Билеты!$F$12</f>
        <v>466100</v>
      </c>
      <c r="D6" s="58" t="n">
        <f aca="false">IFERROR(C6/$C$6,0)</f>
        <v>1</v>
      </c>
      <c r="E6" s="59" t="s">
        <v>253</v>
      </c>
      <c r="F6" s="4"/>
      <c r="G6" s="4"/>
      <c r="H6" s="4"/>
    </row>
    <row r="7" customFormat="false" ht="15" hidden="false" customHeight="false" outlineLevel="0" collapsed="false">
      <c r="A7" s="60" t="s">
        <v>254</v>
      </c>
      <c r="B7" s="53"/>
      <c r="C7" s="47" t="n">
        <f aca="false">-Экономика!$C$6*Вводные!$B$18</f>
        <v>-27966</v>
      </c>
      <c r="D7" s="21" t="n">
        <f aca="false">IFERROR(C7/$C$6,0)</f>
        <v>-0.06</v>
      </c>
      <c r="E7" s="37" t="s">
        <v>255</v>
      </c>
      <c r="F7" s="4"/>
      <c r="G7" s="4"/>
      <c r="H7" s="4"/>
    </row>
    <row r="8" customFormat="false" ht="15" hidden="false" customHeight="false" outlineLevel="0" collapsed="false">
      <c r="A8" s="60" t="s">
        <v>256</v>
      </c>
      <c r="B8" s="53"/>
      <c r="C8" s="47" t="n">
        <f aca="false">-Экономика!$C$6*Вводные!$B$19</f>
        <v>-37288</v>
      </c>
      <c r="D8" s="21" t="n">
        <f aca="false">IFERROR(C8/$C$6,0)</f>
        <v>-0.08</v>
      </c>
      <c r="E8" s="37" t="s">
        <v>257</v>
      </c>
      <c r="F8" s="4"/>
      <c r="G8" s="4"/>
      <c r="H8" s="4"/>
    </row>
    <row r="9" customFormat="false" ht="15" hidden="false" customHeight="false" outlineLevel="0" collapsed="false">
      <c r="A9" s="61" t="s">
        <v>258</v>
      </c>
      <c r="B9" s="53"/>
      <c r="C9" s="62" t="n">
        <f aca="false">-IF(Вводные!$B$22="Фиксированной суммой",Вводные!$B$23,Технические!$E$22)</f>
        <v>-154500</v>
      </c>
      <c r="D9" s="21" t="n">
        <f aca="false">IFERROR(C9/$C$6,0)</f>
        <v>-0.331473932632482</v>
      </c>
      <c r="E9" s="37" t="s">
        <v>259</v>
      </c>
      <c r="F9" s="4"/>
      <c r="G9" s="4"/>
      <c r="H9" s="4"/>
    </row>
    <row r="10" customFormat="false" ht="15" hidden="false" customHeight="false" outlineLevel="1" collapsed="false">
      <c r="A10" s="63" t="str">
        <f aca="false">Технические!$A$5</f>
        <v>Аренда зала (смена)</v>
      </c>
      <c r="B10" s="64" t="n">
        <f aca="false">-Технические!$E$5</f>
        <v>-20000</v>
      </c>
      <c r="C10" s="65"/>
      <c r="D10" s="65"/>
      <c r="E10" s="65"/>
      <c r="F10" s="4"/>
      <c r="G10" s="4"/>
      <c r="H10" s="4"/>
    </row>
    <row r="11" customFormat="false" ht="15" hidden="false" customHeight="false" outlineLevel="1" collapsed="false">
      <c r="A11" s="63" t="str">
        <f aca="false">Технические!$A$6</f>
        <v>Аренда звукового комплекта PA</v>
      </c>
      <c r="B11" s="64" t="n">
        <f aca="false">-Технические!$E$6</f>
        <v>-25000</v>
      </c>
      <c r="C11" s="65"/>
      <c r="D11" s="65"/>
      <c r="E11" s="65"/>
      <c r="F11" s="4"/>
      <c r="G11" s="4"/>
      <c r="H11" s="4"/>
    </row>
    <row r="12" customFormat="false" ht="15" hidden="false" customHeight="false" outlineLevel="1" collapsed="false">
      <c r="A12" s="63" t="str">
        <f aca="false">Технические!$A$7</f>
        <v>Микрофоны, радиосистемы, стойки</v>
      </c>
      <c r="B12" s="64" t="n">
        <f aca="false">-Технические!$E$7</f>
        <v>-8000</v>
      </c>
      <c r="C12" s="65"/>
      <c r="D12" s="65"/>
      <c r="E12" s="65"/>
      <c r="F12" s="4"/>
      <c r="G12" s="4"/>
      <c r="H12" s="4"/>
    </row>
    <row r="13" customFormat="false" ht="15" hidden="false" customHeight="false" outlineLevel="1" collapsed="false">
      <c r="A13" s="63" t="str">
        <f aca="false">Технические!$A$8</f>
        <v>Мониторная линия / in-ear</v>
      </c>
      <c r="B13" s="64" t="n">
        <f aca="false">-Технические!$E$8</f>
        <v>-10000</v>
      </c>
      <c r="C13" s="65"/>
      <c r="D13" s="65"/>
      <c r="E13" s="65"/>
      <c r="F13" s="4"/>
      <c r="G13" s="4"/>
      <c r="H13" s="4"/>
    </row>
    <row r="14" customFormat="false" ht="15" hidden="false" customHeight="false" outlineLevel="1" collapsed="false">
      <c r="A14" s="63" t="str">
        <f aca="false">Технические!$A$9</f>
        <v>Звукорежиссёр FOH</v>
      </c>
      <c r="B14" s="64" t="n">
        <f aca="false">-Технические!$E$9</f>
        <v>-15000</v>
      </c>
      <c r="C14" s="65"/>
      <c r="D14" s="65"/>
      <c r="E14" s="65"/>
      <c r="F14" s="4"/>
      <c r="G14" s="4"/>
      <c r="H14" s="4"/>
    </row>
    <row r="15" customFormat="false" ht="15" hidden="false" customHeight="false" outlineLevel="1" collapsed="false">
      <c r="A15" s="63" t="str">
        <f aca="false">Технические!$A$10</f>
        <v>Мониторный инженер</v>
      </c>
      <c r="B15" s="64" t="n">
        <f aca="false">-Технические!$E$10</f>
        <v>-0</v>
      </c>
      <c r="C15" s="65"/>
      <c r="D15" s="65"/>
      <c r="E15" s="65"/>
      <c r="F15" s="4"/>
      <c r="G15" s="4"/>
      <c r="H15" s="4"/>
    </row>
    <row r="16" customFormat="false" ht="15" hidden="false" customHeight="false" outlineLevel="1" collapsed="false">
      <c r="A16" s="63" t="str">
        <f aca="false">Технические!$A$11</f>
        <v>Световое оборудование</v>
      </c>
      <c r="B16" s="64" t="n">
        <f aca="false">-Технические!$E$11</f>
        <v>-15000</v>
      </c>
      <c r="C16" s="65"/>
      <c r="D16" s="65"/>
      <c r="E16" s="65"/>
      <c r="F16" s="4"/>
      <c r="G16" s="4"/>
      <c r="H16" s="4"/>
    </row>
    <row r="17" customFormat="false" ht="15" hidden="false" customHeight="false" outlineLevel="1" collapsed="false">
      <c r="A17" s="63" t="str">
        <f aca="false">Технические!$A$12</f>
        <v>Художник по свету / оператор</v>
      </c>
      <c r="B17" s="64" t="n">
        <f aca="false">-Технические!$E$12</f>
        <v>-8000</v>
      </c>
      <c r="C17" s="65"/>
      <c r="D17" s="65"/>
      <c r="E17" s="65"/>
      <c r="F17" s="4"/>
      <c r="G17" s="4"/>
      <c r="H17" s="4"/>
    </row>
    <row r="18" customFormat="false" ht="15" hidden="false" customHeight="false" outlineLevel="1" collapsed="false">
      <c r="A18" s="63" t="str">
        <f aca="false">Технические!$A$13</f>
        <v>Бэклайн: барабаны, усилители, клавиши</v>
      </c>
      <c r="B18" s="64" t="n">
        <f aca="false">-Технические!$E$13</f>
        <v>-0</v>
      </c>
      <c r="C18" s="65"/>
      <c r="D18" s="65"/>
      <c r="E18" s="65"/>
      <c r="F18" s="4"/>
      <c r="G18" s="4"/>
      <c r="H18" s="4"/>
    </row>
    <row r="19" customFormat="false" ht="15" hidden="false" customHeight="false" outlineLevel="1" collapsed="false">
      <c r="A19" s="63" t="str">
        <f aca="false">Технические!$A$14</f>
        <v>Экран, проекция, видеоконтент</v>
      </c>
      <c r="B19" s="64" t="n">
        <f aca="false">-Технические!$E$14</f>
        <v>-0</v>
      </c>
      <c r="C19" s="65"/>
      <c r="D19" s="65"/>
      <c r="E19" s="65"/>
      <c r="F19" s="4"/>
      <c r="G19" s="4"/>
      <c r="H19" s="4"/>
    </row>
    <row r="20" customFormat="false" ht="15" hidden="false" customHeight="false" outlineLevel="1" collapsed="false">
      <c r="A20" s="63" t="str">
        <f aca="false">Технические!$A$15</f>
        <v>Электрика, кабели, распределение</v>
      </c>
      <c r="B20" s="64" t="n">
        <f aca="false">-Технические!$E$15</f>
        <v>-3000</v>
      </c>
      <c r="C20" s="65"/>
      <c r="D20" s="65"/>
      <c r="E20" s="65"/>
      <c r="F20" s="4"/>
      <c r="G20" s="4"/>
      <c r="H20" s="4"/>
    </row>
    <row r="21" customFormat="false" ht="15" hidden="false" customHeight="false" outlineLevel="1" collapsed="false">
      <c r="A21" s="63" t="str">
        <f aca="false">Технические!$A$16</f>
        <v>Монтаж, демонтаж, погрузка</v>
      </c>
      <c r="B21" s="64" t="n">
        <f aca="false">-Технические!$E$16</f>
        <v>-10500</v>
      </c>
      <c r="C21" s="65"/>
      <c r="D21" s="65"/>
      <c r="E21" s="65"/>
      <c r="F21" s="4"/>
      <c r="G21" s="4"/>
      <c r="H21" s="4"/>
    </row>
    <row r="22" customFormat="false" ht="15" hidden="false" customHeight="false" outlineLevel="1" collapsed="false">
      <c r="A22" s="63" t="str">
        <f aca="false">Технические!$A$17</f>
        <v>Охрана</v>
      </c>
      <c r="B22" s="64" t="n">
        <f aca="false">-Технические!$E$17</f>
        <v>-12000</v>
      </c>
      <c r="C22" s="65"/>
      <c r="D22" s="65"/>
      <c r="E22" s="65"/>
      <c r="F22" s="4"/>
      <c r="G22" s="4"/>
      <c r="H22" s="4"/>
    </row>
    <row r="23" customFormat="false" ht="15" hidden="false" customHeight="false" outlineLevel="1" collapsed="false">
      <c r="A23" s="63" t="str">
        <f aca="false">Технические!$A$18</f>
        <v>Билетный контроль и гардероб</v>
      </c>
      <c r="B23" s="64" t="n">
        <f aca="false">-Технические!$E$18</f>
        <v>-9000</v>
      </c>
      <c r="C23" s="65"/>
      <c r="D23" s="65"/>
      <c r="E23" s="65"/>
      <c r="F23" s="4"/>
      <c r="G23" s="4"/>
      <c r="H23" s="4"/>
    </row>
    <row r="24" customFormat="false" ht="15" hidden="false" customHeight="false" outlineLevel="1" collapsed="false">
      <c r="A24" s="63" t="str">
        <f aca="false">Технические!$A$19</f>
        <v>Уборка до и после</v>
      </c>
      <c r="B24" s="64" t="n">
        <f aca="false">-Технические!$E$19</f>
        <v>-6000</v>
      </c>
      <c r="C24" s="65"/>
      <c r="D24" s="65"/>
      <c r="E24" s="65"/>
      <c r="F24" s="4"/>
      <c r="G24" s="4"/>
      <c r="H24" s="4"/>
    </row>
    <row r="25" customFormat="false" ht="15" hidden="false" customHeight="false" outlineLevel="1" collapsed="false">
      <c r="A25" s="63" t="str">
        <f aca="false">Технические!$A$20</f>
        <v>Дежурный медик</v>
      </c>
      <c r="B25" s="64" t="n">
        <f aca="false">-Технические!$E$20</f>
        <v>-5000</v>
      </c>
      <c r="C25" s="65"/>
      <c r="D25" s="65"/>
      <c r="E25" s="65"/>
      <c r="F25" s="4"/>
      <c r="G25" s="4"/>
      <c r="H25" s="4"/>
    </row>
    <row r="26" customFormat="false" ht="15" hidden="false" customHeight="false" outlineLevel="1" collapsed="false">
      <c r="A26" s="63" t="str">
        <f aca="false">Технические!$A$21</f>
        <v>Администратор площадки</v>
      </c>
      <c r="B26" s="64" t="n">
        <f aca="false">-Технические!$E$21</f>
        <v>-8000</v>
      </c>
      <c r="C26" s="65"/>
      <c r="D26" s="65"/>
      <c r="E26" s="65"/>
      <c r="F26" s="4"/>
      <c r="G26" s="4"/>
      <c r="H26" s="4"/>
    </row>
    <row r="27" customFormat="false" ht="15" hidden="false" customHeight="false" outlineLevel="0" collapsed="false">
      <c r="A27" s="60" t="s">
        <v>260</v>
      </c>
      <c r="B27" s="53"/>
      <c r="C27" s="47" t="n">
        <f aca="false">-IF(Вводные!$B$37="Да",Гонорары!$E$13,0)</f>
        <v>-0</v>
      </c>
      <c r="D27" s="21" t="n">
        <f aca="false">IFERROR(C27/$C$6,0)</f>
        <v>-0</v>
      </c>
      <c r="E27" s="37" t="s">
        <v>261</v>
      </c>
      <c r="F27" s="4"/>
      <c r="G27" s="4"/>
      <c r="H27" s="4"/>
    </row>
    <row r="28" customFormat="false" ht="15" hidden="false" customHeight="false" outlineLevel="0" collapsed="false">
      <c r="A28" s="60" t="s">
        <v>262</v>
      </c>
      <c r="B28" s="53"/>
      <c r="C28" s="47" t="n">
        <f aca="false">-IF(Вводные!$B$38="Да",Маркетинг!$B$14,0)</f>
        <v>-0</v>
      </c>
      <c r="D28" s="21" t="n">
        <f aca="false">IFERROR(C28/$C$6,0)</f>
        <v>-0</v>
      </c>
      <c r="E28" s="53"/>
      <c r="F28" s="4"/>
      <c r="G28" s="4"/>
      <c r="H28" s="4"/>
    </row>
    <row r="29" customFormat="false" ht="15" hidden="false" customHeight="false" outlineLevel="0" collapsed="false">
      <c r="A29" s="60" t="s">
        <v>263</v>
      </c>
      <c r="B29" s="53"/>
      <c r="C29" s="47" t="n">
        <f aca="false">-IF(Вводные!$B$39="Да",Прочие!$E$19,0)</f>
        <v>-0</v>
      </c>
      <c r="D29" s="21" t="n">
        <f aca="false">IFERROR(C29/$C$6,0)</f>
        <v>-0</v>
      </c>
      <c r="E29" s="53"/>
      <c r="F29" s="4"/>
      <c r="G29" s="4"/>
      <c r="H29" s="4"/>
    </row>
    <row r="30" customFormat="false" ht="21.75" hidden="false" customHeight="true" outlineLevel="0" collapsed="false">
      <c r="A30" s="66" t="s">
        <v>264</v>
      </c>
      <c r="B30" s="39"/>
      <c r="C30" s="67" t="n">
        <f aca="false">Экономика!$C$6+Экономика!$C$7+Экономика!$C$8+Экономика!$C$9+Экономика!$C$27+Экономика!$C$28+Экономика!$C$29</f>
        <v>246346</v>
      </c>
      <c r="D30" s="58" t="n">
        <f aca="false">IFERROR(C30/$C$6,0)</f>
        <v>0.528526067367518</v>
      </c>
      <c r="E30" s="39"/>
      <c r="F30" s="4"/>
      <c r="G30" s="4"/>
      <c r="H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</row>
    <row r="32" customFormat="false" ht="19.5" hidden="false" customHeight="true" outlineLevel="0" collapsed="false">
      <c r="A32" s="8" t="s">
        <v>265</v>
      </c>
      <c r="B32" s="9"/>
      <c r="C32" s="9"/>
      <c r="D32" s="9"/>
      <c r="E32" s="9"/>
      <c r="F32" s="4"/>
      <c r="G32" s="4"/>
      <c r="H32" s="4"/>
    </row>
    <row r="33" customFormat="false" ht="15" hidden="false" customHeight="false" outlineLevel="0" collapsed="false">
      <c r="A33" s="60" t="s">
        <v>266</v>
      </c>
      <c r="B33" s="53"/>
      <c r="C33" s="47" t="n">
        <f aca="false">-IF(Экономика!$C$30&gt;=0,Экономика!$C$30*Вводные!$B$27,IF(Вводные!$B$28="Да",Экономика!$C$30*Вводные!$B$27,0))</f>
        <v>-123173</v>
      </c>
      <c r="D33" s="21" t="n">
        <f aca="false">IFERROR(C33/$C$6,0)</f>
        <v>-0.264263033683759</v>
      </c>
      <c r="E33" s="37" t="s">
        <v>267</v>
      </c>
      <c r="F33" s="4"/>
      <c r="G33" s="4"/>
      <c r="H33" s="4"/>
    </row>
    <row r="34" customFormat="false" ht="21.75" hidden="false" customHeight="true" outlineLevel="0" collapsed="false">
      <c r="A34" s="68" t="s">
        <v>268</v>
      </c>
      <c r="B34" s="69"/>
      <c r="C34" s="70" t="n">
        <f aca="false">Экономика!$C$30+Экономика!$C$33</f>
        <v>123173</v>
      </c>
      <c r="D34" s="71" t="n">
        <f aca="false">IFERROR(C34/$C$6,0)</f>
        <v>0.264263033683759</v>
      </c>
      <c r="E34" s="72" t="s">
        <v>269</v>
      </c>
      <c r="F34" s="4"/>
      <c r="G34" s="4"/>
      <c r="H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</row>
    <row r="36" customFormat="false" ht="19.5" hidden="false" customHeight="true" outlineLevel="0" collapsed="false">
      <c r="A36" s="8" t="s">
        <v>13</v>
      </c>
      <c r="B36" s="9"/>
      <c r="C36" s="9"/>
      <c r="D36" s="9"/>
      <c r="E36" s="9"/>
      <c r="F36" s="4"/>
      <c r="G36" s="4"/>
      <c r="H36" s="4"/>
    </row>
    <row r="37" customFormat="false" ht="15" hidden="false" customHeight="false" outlineLevel="0" collapsed="false">
      <c r="A37" s="60" t="s">
        <v>14</v>
      </c>
      <c r="B37" s="53"/>
      <c r="C37" s="47" t="n">
        <f aca="false">-MAX(0,Экономика!$C$34)*Вводные!$B$31</f>
        <v>-8622.11</v>
      </c>
      <c r="D37" s="21" t="n">
        <f aca="false">IFERROR(C37/$C$6,0)</f>
        <v>-0.0184984123578631</v>
      </c>
      <c r="E37" s="37" t="s">
        <v>270</v>
      </c>
      <c r="F37" s="4"/>
      <c r="G37" s="4"/>
      <c r="H37" s="4"/>
    </row>
    <row r="38" customFormat="false" ht="15" hidden="false" customHeight="false" outlineLevel="0" collapsed="false">
      <c r="A38" s="60" t="s">
        <v>15</v>
      </c>
      <c r="B38" s="53"/>
      <c r="C38" s="47" t="n">
        <f aca="false">-MAX(0,Экономика!$C$34)*Вводные!$B$32</f>
        <v>-1231.73</v>
      </c>
      <c r="D38" s="21" t="n">
        <f aca="false">IFERROR(C38/$C$6,0)</f>
        <v>-0.00264263033683759</v>
      </c>
      <c r="E38" s="53"/>
      <c r="F38" s="4"/>
      <c r="G38" s="4"/>
      <c r="H38" s="4"/>
    </row>
    <row r="39" customFormat="false" ht="15" hidden="false" customHeight="false" outlineLevel="0" collapsed="false">
      <c r="A39" s="61" t="s">
        <v>16</v>
      </c>
      <c r="B39" s="53"/>
      <c r="C39" s="62" t="n">
        <f aca="false">-IF(Вводные!$B$37="Нет",Гонорары!$E$13,0)</f>
        <v>-49000</v>
      </c>
      <c r="D39" s="21" t="n">
        <f aca="false">IFERROR(C39/$C$6,0)</f>
        <v>-0.105127655009655</v>
      </c>
      <c r="E39" s="53"/>
      <c r="F39" s="4"/>
      <c r="G39" s="4"/>
      <c r="H39" s="4"/>
    </row>
    <row r="40" customFormat="false" ht="15" hidden="false" customHeight="false" outlineLevel="1" collapsed="false">
      <c r="A40" s="63" t="str">
        <f aca="false">Гонорары!$A$5</f>
        <v>Артист / хедлайнер</v>
      </c>
      <c r="B40" s="64" t="n">
        <f aca="false">-Гонорары!$E$5</f>
        <v>-25000</v>
      </c>
      <c r="C40" s="65"/>
      <c r="D40" s="65"/>
      <c r="E40" s="65"/>
      <c r="F40" s="4"/>
      <c r="G40" s="4"/>
      <c r="H40" s="4"/>
    </row>
    <row r="41" customFormat="false" ht="15" hidden="false" customHeight="false" outlineLevel="1" collapsed="false">
      <c r="A41" s="63" t="str">
        <f aca="false">Гонорары!$A$6</f>
        <v>Музыкант: гитара</v>
      </c>
      <c r="B41" s="64" t="n">
        <f aca="false">-Гонорары!$E$6</f>
        <v>-8000</v>
      </c>
      <c r="C41" s="65"/>
      <c r="D41" s="65"/>
      <c r="E41" s="65"/>
      <c r="F41" s="4"/>
      <c r="G41" s="4"/>
      <c r="H41" s="4"/>
    </row>
    <row r="42" customFormat="false" ht="15" hidden="false" customHeight="false" outlineLevel="1" collapsed="false">
      <c r="A42" s="63" t="str">
        <f aca="false">Гонорары!$A$7</f>
        <v>Музыкант: бас</v>
      </c>
      <c r="B42" s="64" t="n">
        <f aca="false">-Гонорары!$E$7</f>
        <v>-8000</v>
      </c>
      <c r="C42" s="65"/>
      <c r="D42" s="65"/>
      <c r="E42" s="65"/>
      <c r="F42" s="4"/>
      <c r="G42" s="4"/>
      <c r="H42" s="4"/>
    </row>
    <row r="43" customFormat="false" ht="15" hidden="false" customHeight="false" outlineLevel="1" collapsed="false">
      <c r="A43" s="63" t="str">
        <f aca="false">Гонорары!$A$8</f>
        <v>Музыкант: барабаны</v>
      </c>
      <c r="B43" s="64" t="n">
        <f aca="false">-Гонорары!$E$8</f>
        <v>-8000</v>
      </c>
      <c r="C43" s="65"/>
      <c r="D43" s="65"/>
      <c r="E43" s="65"/>
      <c r="F43" s="4"/>
      <c r="G43" s="4"/>
      <c r="H43" s="4"/>
    </row>
    <row r="44" customFormat="false" ht="15" hidden="false" customHeight="false" outlineLevel="1" collapsed="false">
      <c r="A44" s="63" t="str">
        <f aca="false">Гонорары!$A$9</f>
        <v>Музыкант: клавиши</v>
      </c>
      <c r="B44" s="64" t="n">
        <f aca="false">-Гонорары!$E$9</f>
        <v>-0</v>
      </c>
      <c r="C44" s="65"/>
      <c r="D44" s="65"/>
      <c r="E44" s="65"/>
      <c r="F44" s="4"/>
      <c r="G44" s="4"/>
      <c r="H44" s="4"/>
    </row>
    <row r="45" customFormat="false" ht="15" hidden="false" customHeight="false" outlineLevel="1" collapsed="false">
      <c r="A45" s="63" t="str">
        <f aca="false">Гонорары!$A$10</f>
        <v>Разогрев / support act</v>
      </c>
      <c r="B45" s="64" t="n">
        <f aca="false">-Гонорары!$E$10</f>
        <v>-0</v>
      </c>
      <c r="C45" s="65"/>
      <c r="D45" s="65"/>
      <c r="E45" s="65"/>
      <c r="F45" s="4"/>
      <c r="G45" s="4"/>
      <c r="H45" s="4"/>
    </row>
    <row r="46" customFormat="false" ht="15" hidden="false" customHeight="false" outlineLevel="1" collapsed="false">
      <c r="A46" s="63" t="str">
        <f aca="false">Гонорары!$A$11</f>
        <v>Ведущий / конферансье</v>
      </c>
      <c r="B46" s="64" t="n">
        <f aca="false">-Гонорары!$E$11</f>
        <v>-0</v>
      </c>
      <c r="C46" s="65"/>
      <c r="D46" s="65"/>
      <c r="E46" s="65"/>
      <c r="F46" s="4"/>
      <c r="G46" s="4"/>
      <c r="H46" s="4"/>
    </row>
    <row r="47" customFormat="false" ht="15" hidden="false" customHeight="false" outlineLevel="1" collapsed="false">
      <c r="A47" s="63" t="str">
        <f aca="false">Гонорары!$A$12</f>
        <v>Налоги и взносы с гонораров</v>
      </c>
      <c r="B47" s="64" t="n">
        <f aca="false">-Гонорары!$E$12</f>
        <v>-0</v>
      </c>
      <c r="C47" s="65"/>
      <c r="D47" s="65"/>
      <c r="E47" s="65"/>
      <c r="F47" s="4"/>
      <c r="G47" s="4"/>
      <c r="H47" s="4"/>
    </row>
    <row r="48" customFormat="false" ht="15" hidden="false" customHeight="false" outlineLevel="0" collapsed="false">
      <c r="A48" s="61" t="s">
        <v>17</v>
      </c>
      <c r="B48" s="53"/>
      <c r="C48" s="62" t="n">
        <f aca="false">-IF(Вводные!$B$38="Нет",Маркетинг!$B$14,0)</f>
        <v>-60000</v>
      </c>
      <c r="D48" s="21" t="n">
        <f aca="false">IFERROR(C48/$C$6,0)</f>
        <v>-0.128727740828148</v>
      </c>
      <c r="E48" s="53"/>
      <c r="F48" s="4"/>
      <c r="G48" s="4"/>
      <c r="H48" s="4"/>
    </row>
    <row r="49" customFormat="false" ht="15" hidden="false" customHeight="false" outlineLevel="1" collapsed="false">
      <c r="A49" s="63" t="str">
        <f aca="false">Маркетинг!$A$6</f>
        <v>Таргетированная реклама VK</v>
      </c>
      <c r="B49" s="64" t="n">
        <f aca="false">-Маркетинг!$B$6</f>
        <v>-20000</v>
      </c>
      <c r="C49" s="65"/>
      <c r="D49" s="65"/>
      <c r="E49" s="65"/>
      <c r="F49" s="4"/>
      <c r="G49" s="4"/>
      <c r="H49" s="4"/>
    </row>
    <row r="50" customFormat="false" ht="15" hidden="false" customHeight="false" outlineLevel="1" collapsed="false">
      <c r="A50" s="63" t="str">
        <f aca="false">Маркетинг!$A$7</f>
        <v>Посевы в Telegram-каналах</v>
      </c>
      <c r="B50" s="64" t="n">
        <f aca="false">-Маркетинг!$B$7</f>
        <v>-15000</v>
      </c>
      <c r="C50" s="65"/>
      <c r="D50" s="65"/>
      <c r="E50" s="65"/>
      <c r="F50" s="4"/>
      <c r="G50" s="4"/>
      <c r="H50" s="4"/>
    </row>
    <row r="51" customFormat="false" ht="15" hidden="false" customHeight="false" outlineLevel="1" collapsed="false">
      <c r="A51" s="63" t="str">
        <f aca="false">Маркетинг!$A$8</f>
        <v>Блогеры и лидеры мнений</v>
      </c>
      <c r="B51" s="64" t="n">
        <f aca="false">-Маркетинг!$B$8</f>
        <v>-10000</v>
      </c>
      <c r="C51" s="65"/>
      <c r="D51" s="65"/>
      <c r="E51" s="65"/>
      <c r="F51" s="4"/>
      <c r="G51" s="4"/>
      <c r="H51" s="4"/>
    </row>
    <row r="52" customFormat="false" ht="15" hidden="false" customHeight="false" outlineLevel="1" collapsed="false">
      <c r="A52" s="63" t="str">
        <f aca="false">Маркетинг!$A$9</f>
        <v>Наружная реклама и расклейка афиш</v>
      </c>
      <c r="B52" s="64" t="n">
        <f aca="false">-Маркетинг!$B$9</f>
        <v>-5000</v>
      </c>
      <c r="C52" s="65"/>
      <c r="D52" s="65"/>
      <c r="E52" s="65"/>
      <c r="F52" s="4"/>
      <c r="G52" s="4"/>
      <c r="H52" s="4"/>
    </row>
    <row r="53" customFormat="false" ht="15" hidden="false" customHeight="false" outlineLevel="1" collapsed="false">
      <c r="A53" s="63" t="str">
        <f aca="false">Маркетинг!$A$10</f>
        <v>Городские афиши: Яндекс.Афиша, KudaGo</v>
      </c>
      <c r="B53" s="64" t="n">
        <f aca="false">-Маркетинг!$B$10</f>
        <v>-0</v>
      </c>
      <c r="C53" s="65"/>
      <c r="D53" s="65"/>
      <c r="E53" s="65"/>
      <c r="F53" s="4"/>
      <c r="G53" s="4"/>
      <c r="H53" s="4"/>
    </row>
    <row r="54" customFormat="false" ht="15" hidden="false" customHeight="false" outlineLevel="1" collapsed="false">
      <c r="A54" s="63" t="str">
        <f aca="false">Маркетинг!$A$11</f>
        <v>PR: пресс-релиз, СМИ, интервью</v>
      </c>
      <c r="B54" s="64" t="n">
        <f aca="false">-Маркетинг!$B$11</f>
        <v>-3000</v>
      </c>
      <c r="C54" s="65"/>
      <c r="D54" s="65"/>
      <c r="E54" s="65"/>
      <c r="F54" s="4"/>
      <c r="G54" s="4"/>
      <c r="H54" s="4"/>
    </row>
    <row r="55" customFormat="false" ht="15" hidden="false" customHeight="false" outlineLevel="1" collapsed="false">
      <c r="A55" s="63" t="str">
        <f aca="false">Маркетинг!$A$12</f>
        <v>Email и база подписчиков</v>
      </c>
      <c r="B55" s="64" t="n">
        <f aca="false">-Маркетинг!$B$12</f>
        <v>-1000</v>
      </c>
      <c r="C55" s="65"/>
      <c r="D55" s="65"/>
      <c r="E55" s="65"/>
      <c r="F55" s="4"/>
      <c r="G55" s="4"/>
      <c r="H55" s="4"/>
    </row>
    <row r="56" customFormat="false" ht="15" hidden="false" customHeight="false" outlineLevel="1" collapsed="false">
      <c r="A56" s="63" t="str">
        <f aca="false">Маркетинг!$A$13</f>
        <v>Продакшн контента: дизайн, тизер, фото</v>
      </c>
      <c r="B56" s="64" t="n">
        <f aca="false">-Маркетинг!$B$13</f>
        <v>-6000</v>
      </c>
      <c r="C56" s="65"/>
      <c r="D56" s="65"/>
      <c r="E56" s="65"/>
      <c r="F56" s="4"/>
      <c r="G56" s="4"/>
      <c r="H56" s="4"/>
    </row>
    <row r="57" customFormat="false" ht="15" hidden="false" customHeight="false" outlineLevel="0" collapsed="false">
      <c r="A57" s="61" t="s">
        <v>18</v>
      </c>
      <c r="B57" s="53"/>
      <c r="C57" s="62" t="n">
        <f aca="false">-IF(Вводные!$B$39="Нет",Прочие!$E$19,0)</f>
        <v>-76450</v>
      </c>
      <c r="D57" s="21" t="n">
        <f aca="false">IFERROR(C57/$C$6,0)</f>
        <v>-0.164020596438533</v>
      </c>
      <c r="E57" s="53"/>
      <c r="F57" s="4"/>
      <c r="G57" s="4"/>
      <c r="H57" s="4"/>
    </row>
    <row r="58" customFormat="false" ht="15" hidden="false" customHeight="false" outlineLevel="1" collapsed="false">
      <c r="A58" s="63" t="str">
        <f aca="false">Прочие!$A$5</f>
        <v>Комиссия билетного оператора</v>
      </c>
      <c r="B58" s="64" t="n">
        <f aca="false">-Прочие!$E$5</f>
        <v>-0</v>
      </c>
      <c r="C58" s="65"/>
      <c r="D58" s="65"/>
      <c r="E58" s="65"/>
      <c r="F58" s="4"/>
      <c r="G58" s="4"/>
      <c r="H58" s="4"/>
    </row>
    <row r="59" customFormat="false" ht="15" hidden="false" customHeight="false" outlineLevel="1" collapsed="false">
      <c r="A59" s="63" t="str">
        <f aca="false">Прочие!$A$6</f>
        <v>Полиграфия: афиши, флаеры</v>
      </c>
      <c r="B59" s="64" t="n">
        <f aca="false">-Прочие!$E$6</f>
        <v>-12000</v>
      </c>
      <c r="C59" s="65"/>
      <c r="D59" s="65"/>
      <c r="E59" s="65"/>
      <c r="F59" s="4"/>
      <c r="G59" s="4"/>
      <c r="H59" s="4"/>
    </row>
    <row r="60" customFormat="false" ht="15" hidden="false" customHeight="false" outlineLevel="1" collapsed="false">
      <c r="A60" s="63" t="str">
        <f aca="false">Прочие!$A$7</f>
        <v>Бейджи, браслеты, программки</v>
      </c>
      <c r="B60" s="64" t="n">
        <f aca="false">-Прочие!$E$7</f>
        <v>-5000</v>
      </c>
      <c r="C60" s="65"/>
      <c r="D60" s="65"/>
      <c r="E60" s="65"/>
      <c r="F60" s="4"/>
      <c r="G60" s="4"/>
      <c r="H60" s="4"/>
    </row>
    <row r="61" customFormat="false" ht="15" hidden="false" customHeight="false" outlineLevel="1" collapsed="false">
      <c r="A61" s="63" t="str">
        <f aca="false">Прочие!$A$8</f>
        <v>Оформление сцены и зала, декор</v>
      </c>
      <c r="B61" s="64" t="n">
        <f aca="false">-Прочие!$E$8</f>
        <v>-0</v>
      </c>
      <c r="C61" s="65"/>
      <c r="D61" s="65"/>
      <c r="E61" s="65"/>
      <c r="F61" s="4"/>
      <c r="G61" s="4"/>
      <c r="H61" s="4"/>
    </row>
    <row r="62" customFormat="false" ht="15" hidden="false" customHeight="false" outlineLevel="1" collapsed="false">
      <c r="A62" s="63" t="str">
        <f aca="false">Прочие!$A$9</f>
        <v>Репетиции, аренда репбазы</v>
      </c>
      <c r="B62" s="64" t="n">
        <f aca="false">-Прочие!$E$9</f>
        <v>-12000</v>
      </c>
      <c r="C62" s="65"/>
      <c r="D62" s="65"/>
      <c r="E62" s="65"/>
      <c r="F62" s="4"/>
      <c r="G62" s="4"/>
      <c r="H62" s="4"/>
    </row>
    <row r="63" customFormat="false" ht="15" hidden="false" customHeight="false" outlineLevel="1" collapsed="false">
      <c r="A63" s="63" t="str">
        <f aca="false">Прочие!$A$10</f>
        <v>Транспорт оборудования</v>
      </c>
      <c r="B63" s="64" t="n">
        <f aca="false">-Прочие!$E$10</f>
        <v>-12000</v>
      </c>
      <c r="C63" s="65"/>
      <c r="D63" s="65"/>
      <c r="E63" s="65"/>
      <c r="F63" s="4"/>
      <c r="G63" s="4"/>
      <c r="H63" s="4"/>
    </row>
    <row r="64" customFormat="false" ht="15" hidden="false" customHeight="false" outlineLevel="1" collapsed="false">
      <c r="A64" s="63" t="str">
        <f aca="false">Прочие!$A$11</f>
        <v>Трансфер и проживание команды</v>
      </c>
      <c r="B64" s="64" t="n">
        <f aca="false">-Прочие!$E$11</f>
        <v>-0</v>
      </c>
      <c r="C64" s="65"/>
      <c r="D64" s="65"/>
      <c r="E64" s="65"/>
      <c r="F64" s="4"/>
      <c r="G64" s="4"/>
      <c r="H64" s="4"/>
    </row>
    <row r="65" customFormat="false" ht="15" hidden="false" customHeight="false" outlineLevel="1" collapsed="false">
      <c r="A65" s="63" t="str">
        <f aca="false">Прочие!$A$12</f>
        <v>Кейтеринг и райдер бэкстейджа</v>
      </c>
      <c r="B65" s="64" t="n">
        <f aca="false">-Прочие!$E$12</f>
        <v>-10500</v>
      </c>
      <c r="C65" s="65"/>
      <c r="D65" s="65"/>
      <c r="E65" s="65"/>
      <c r="F65" s="4"/>
      <c r="G65" s="4"/>
      <c r="H65" s="4"/>
    </row>
    <row r="66" customFormat="false" ht="15" hidden="false" customHeight="false" outlineLevel="1" collapsed="false">
      <c r="A66" s="63" t="str">
        <f aca="false">Прочие!$A$13</f>
        <v>Фотограф</v>
      </c>
      <c r="B66" s="64" t="n">
        <f aca="false">-Прочие!$E$13</f>
        <v>-12000</v>
      </c>
      <c r="C66" s="65"/>
      <c r="D66" s="65"/>
      <c r="E66" s="65"/>
      <c r="F66" s="4"/>
      <c r="G66" s="4"/>
      <c r="H66" s="4"/>
    </row>
    <row r="67" customFormat="false" ht="15" hidden="false" customHeight="false" outlineLevel="1" collapsed="false">
      <c r="A67" s="63" t="str">
        <f aca="false">Прочие!$A$14</f>
        <v>Видеосъёмка концерта</v>
      </c>
      <c r="B67" s="64" t="n">
        <f aca="false">-Прочие!$E$14</f>
        <v>-0</v>
      </c>
      <c r="C67" s="65"/>
      <c r="D67" s="65"/>
      <c r="E67" s="65"/>
      <c r="F67" s="4"/>
      <c r="G67" s="4"/>
      <c r="H67" s="4"/>
    </row>
    <row r="68" customFormat="false" ht="15" hidden="false" customHeight="false" outlineLevel="1" collapsed="false">
      <c r="A68" s="63" t="str">
        <f aca="false">Прочие!$A$15</f>
        <v>Юридическое сопровождение</v>
      </c>
      <c r="B68" s="64" t="n">
        <f aca="false">-Прочие!$E$15</f>
        <v>-6000</v>
      </c>
      <c r="C68" s="65"/>
      <c r="D68" s="65"/>
      <c r="E68" s="65"/>
      <c r="F68" s="4"/>
      <c r="G68" s="4"/>
      <c r="H68" s="4"/>
    </row>
    <row r="69" customFormat="false" ht="15" hidden="false" customHeight="false" outlineLevel="1" collapsed="false">
      <c r="A69" s="63" t="str">
        <f aca="false">Прочие!$A$16</f>
        <v>Онлайн-касса, ОФД</v>
      </c>
      <c r="B69" s="64" t="n">
        <f aca="false">-Прочие!$E$16</f>
        <v>-0</v>
      </c>
      <c r="C69" s="65"/>
      <c r="D69" s="65"/>
      <c r="E69" s="65"/>
      <c r="F69" s="4"/>
      <c r="G69" s="4"/>
      <c r="H69" s="4"/>
    </row>
    <row r="70" customFormat="false" ht="15" hidden="false" customHeight="false" outlineLevel="1" collapsed="false">
      <c r="A70" s="63" t="str">
        <f aca="false">Прочие!$A$17</f>
        <v>Страхование мероприятия</v>
      </c>
      <c r="B70" s="64" t="n">
        <f aca="false">-Прочие!$E$17</f>
        <v>-0</v>
      </c>
      <c r="C70" s="65"/>
      <c r="D70" s="65"/>
      <c r="E70" s="65"/>
      <c r="F70" s="4"/>
      <c r="G70" s="4"/>
      <c r="H70" s="4"/>
    </row>
    <row r="71" customFormat="false" ht="15" hidden="false" customHeight="false" outlineLevel="1" collapsed="false">
      <c r="A71" s="63" t="str">
        <f aca="false">Прочие!$A$18</f>
        <v>Резерв на непредвиденное</v>
      </c>
      <c r="B71" s="64" t="n">
        <f aca="false">-Прочие!$E$18</f>
        <v>-6950</v>
      </c>
      <c r="C71" s="65"/>
      <c r="D71" s="65"/>
      <c r="E71" s="65"/>
      <c r="F71" s="4"/>
      <c r="G71" s="4"/>
      <c r="H71" s="4"/>
    </row>
    <row r="72" customFormat="false" ht="27.75" hidden="false" customHeight="true" outlineLevel="0" collapsed="false">
      <c r="A72" s="73" t="s">
        <v>20</v>
      </c>
      <c r="B72" s="51"/>
      <c r="C72" s="74" t="n">
        <f aca="false">Экономика!$C$34+Экономика!$C$37+Экономика!$C$38+Экономика!$C$39+Экономика!$C$48+Экономика!$C$57</f>
        <v>-72130.84</v>
      </c>
      <c r="D72" s="75" t="n">
        <f aca="false">IFERROR(C72/$C$6,0)</f>
        <v>-0.154754001287277</v>
      </c>
      <c r="E72" s="51"/>
      <c r="F72" s="4"/>
      <c r="G72" s="4"/>
      <c r="H72" s="4"/>
    </row>
    <row r="73" customFormat="false" ht="15" hidden="false" customHeight="false" outlineLevel="0" collapsed="false">
      <c r="A73" s="4"/>
      <c r="B73" s="4"/>
      <c r="C73" s="4"/>
      <c r="D73" s="4"/>
      <c r="E73" s="4"/>
      <c r="F73" s="4"/>
      <c r="G73" s="4"/>
      <c r="H73" s="4"/>
    </row>
    <row r="74" customFormat="false" ht="19.5" hidden="false" customHeight="true" outlineLevel="0" collapsed="false">
      <c r="A74" s="8" t="s">
        <v>271</v>
      </c>
      <c r="B74" s="9"/>
      <c r="C74" s="9"/>
      <c r="D74" s="9"/>
      <c r="E74" s="9"/>
      <c r="F74" s="4"/>
      <c r="G74" s="4"/>
      <c r="H74" s="4"/>
    </row>
    <row r="75" customFormat="false" ht="15" hidden="false" customHeight="false" outlineLevel="0" collapsed="false">
      <c r="A75" s="60" t="s">
        <v>272</v>
      </c>
      <c r="B75" s="53"/>
      <c r="C75" s="47" t="n">
        <f aca="false">(IF(Вводные!$B$22="Фиксированной суммой",Вводные!$B$23,Технические!$E$22)+IF(Вводные!$B$37="Да",Гонорары!$E$13,0)+IF(Вводные!$B$38="Да",Маркетинг!$B$14,0)+IF(Вводные!$B$39="Да",Прочие!$E$19,0))</f>
        <v>154500</v>
      </c>
      <c r="D75" s="53"/>
      <c r="E75" s="53"/>
      <c r="F75" s="4"/>
      <c r="G75" s="4"/>
      <c r="H75" s="4"/>
    </row>
    <row r="76" customFormat="false" ht="15" hidden="false" customHeight="false" outlineLevel="0" collapsed="false">
      <c r="A76" s="60" t="s">
        <v>273</v>
      </c>
      <c r="B76" s="53"/>
      <c r="C76" s="47" t="n">
        <f aca="false">(IF(Вводные!$B$37="Нет",Гонорары!$E$13,0)+IF(Вводные!$B$38="Нет",Маркетинг!$B$14,0)+IF(Вводные!$B$39="Нет",Прочие!$E$19,0))</f>
        <v>185450</v>
      </c>
      <c r="D76" s="53"/>
      <c r="E76" s="53"/>
      <c r="F76" s="4"/>
      <c r="G76" s="4"/>
      <c r="H76" s="4"/>
    </row>
    <row r="77" customFormat="false" ht="15" hidden="false" customHeight="false" outlineLevel="0" collapsed="false">
      <c r="A77" s="61" t="s">
        <v>274</v>
      </c>
      <c r="B77" s="53"/>
      <c r="C77" s="62" t="n">
        <f aca="false">IFERROR(((IF(Вводные!$B$22="Фиксированной суммой",Вводные!$B$23,Технические!$E$22)+IF(Вводные!$B$37="Да",Гонорары!$E$13,0)+IF(Вводные!$B$38="Да",Маркетинг!$B$14,0)+IF(Вводные!$B$39="Да",Прочие!$E$19,0))+(IF(Вводные!$B$37="Нет",Гонорары!$E$13,0)+IF(Вводные!$B$38="Нет",Маркетинг!$B$14,0)+IF(Вводные!$B$39="Нет",Прочие!$E$19,0))/((1-Вводные!$B$33)*Вводные!$B$26))/(1-Вводные!$B$18-Вводные!$B$19),0)</f>
        <v>648432.760364004</v>
      </c>
      <c r="D77" s="53"/>
      <c r="E77" s="37" t="s">
        <v>275</v>
      </c>
      <c r="F77" s="4"/>
      <c r="G77" s="4"/>
      <c r="H77" s="4"/>
    </row>
    <row r="78" customFormat="false" ht="15" hidden="false" customHeight="false" outlineLevel="0" collapsed="false">
      <c r="A78" s="61" t="s">
        <v>24</v>
      </c>
      <c r="B78" s="53"/>
      <c r="C78" s="76" t="n">
        <f aca="false">IFERROR(ROUNDUP(Экономика!$C$77/Билеты!$B$19,0),0)</f>
        <v>268</v>
      </c>
      <c r="D78" s="53"/>
      <c r="E78" s="53"/>
      <c r="F78" s="4"/>
      <c r="G78" s="4"/>
      <c r="H78" s="4"/>
    </row>
    <row r="79" customFormat="false" ht="15" hidden="false" customHeight="false" outlineLevel="0" collapsed="false">
      <c r="A79" s="61" t="s">
        <v>276</v>
      </c>
      <c r="B79" s="53"/>
      <c r="C79" s="77" t="n">
        <f aca="false">IFERROR(Экономика!$C$78/Билеты!$B$22/Вводные!$B$12,0)</f>
        <v>0.939861111111111</v>
      </c>
      <c r="D79" s="53"/>
      <c r="E79" s="53"/>
      <c r="F79" s="4"/>
      <c r="G79" s="4"/>
      <c r="H79" s="4"/>
    </row>
    <row r="80" customFormat="false" ht="15" hidden="false" customHeight="false" outlineLevel="0" collapsed="false">
      <c r="A80" s="60" t="s">
        <v>277</v>
      </c>
      <c r="B80" s="53"/>
      <c r="C80" s="28" t="n">
        <f aca="false">IFERROR((Билеты!$B$17-Экономика!$C$78)/Билеты!$B$17,0)</f>
        <v>-0.395833333333333</v>
      </c>
      <c r="D80" s="53"/>
      <c r="E80" s="37" t="s">
        <v>278</v>
      </c>
      <c r="F80" s="4"/>
      <c r="G80" s="4"/>
      <c r="H80" s="4"/>
    </row>
    <row r="81" customFormat="false" ht="15" hidden="false" customHeight="false" outlineLevel="0" collapsed="false">
      <c r="A81" s="60" t="s">
        <v>279</v>
      </c>
      <c r="B81" s="53"/>
      <c r="C81" s="28" t="n">
        <f aca="false">IFERROR(Экономика!$C$72/Экономика!$C$6,0)</f>
        <v>-0.154754001287277</v>
      </c>
      <c r="D81" s="53"/>
      <c r="E81" s="53"/>
      <c r="F81" s="4"/>
      <c r="G81" s="4"/>
      <c r="H81" s="4"/>
    </row>
    <row r="82" customFormat="false" ht="15" hidden="false" customHeight="false" outlineLevel="0" collapsed="false">
      <c r="A82" s="60" t="s">
        <v>280</v>
      </c>
      <c r="B82" s="53"/>
      <c r="C82" s="47" t="n">
        <f aca="false">IFERROR(Экономика!$C$72/Билеты!$E$12,0)</f>
        <v>-357.083366336634</v>
      </c>
      <c r="D82" s="53"/>
      <c r="E82" s="53"/>
      <c r="F82" s="4"/>
      <c r="G82" s="4"/>
      <c r="H82" s="4"/>
    </row>
    <row r="83" customFormat="false" ht="15" hidden="false" customHeight="false" outlineLevel="0" collapsed="false">
      <c r="A83" s="61" t="s">
        <v>281</v>
      </c>
      <c r="B83" s="53"/>
      <c r="C83" s="78" t="str">
        <f aca="false">IF(Экономика!$C$72&lt;0,"УБЫТОК. Нужен сбор от "&amp;TEXT(Экономика!$C$77,"# ##0")&amp;" ₽ ("&amp;TEXT(Экономика!$C$79,"0%")&amp;" зала), чтобы выйти в ноль",IF(Экономика!$C$80&lt;0.15,"НА ГРАНИ. Запас прочности меньше 15%",IF(Экономика!$C$81&lt;0.1,"СЛАБО. Рентабельность ниже 10% от сбора","ЗДОРОВО. Проект окупается с запасом")))</f>
        <v>УБЫТОК. Нужен сбор от 648 433 ₽ (94% зала), чтобы выйти в ноль</v>
      </c>
      <c r="D83" s="53"/>
      <c r="E83" s="53"/>
      <c r="F83" s="4"/>
      <c r="G83" s="4"/>
      <c r="H83" s="4"/>
    </row>
  </sheetData>
  <conditionalFormatting sqref="C83">
    <cfRule type="expression" priority="2" aboveAverage="0" equalAverage="0" bottom="0" percent="0" rank="0" text="" dxfId="0">
      <formula>LEFT($C$83,6)="УБЫТОК"</formula>
    </cfRule>
    <cfRule type="expression" priority="3" aboveAverage="0" equalAverage="0" bottom="0" percent="0" rank="0" text="" dxfId="1">
      <formula>LEFT($C$83,7)="ЗДОРОВО"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5" min="2" style="0" width="17"/>
    <col collapsed="false" customWidth="true" hidden="false" outlineLevel="0" max="6" min="6" style="0" width="19"/>
    <col collapsed="false" customWidth="true" hidden="false" outlineLevel="0" max="7" min="7" style="0" width="46"/>
  </cols>
  <sheetData>
    <row r="1" customFormat="false" ht="30" hidden="false" customHeight="true" outlineLevel="0" collapsed="false">
      <c r="A1" s="1" t="s">
        <v>282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283</v>
      </c>
      <c r="B2" s="4"/>
      <c r="C2" s="4"/>
      <c r="D2" s="4"/>
      <c r="E2" s="4"/>
      <c r="F2" s="4"/>
      <c r="G2" s="4"/>
      <c r="H2" s="4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</row>
    <row r="4" customFormat="false" ht="30" hidden="false" customHeight="true" outlineLevel="0" collapsed="false">
      <c r="A4" s="32" t="s">
        <v>248</v>
      </c>
      <c r="B4" s="32" t="s">
        <v>29</v>
      </c>
      <c r="C4" s="32" t="s">
        <v>284</v>
      </c>
      <c r="D4" s="32" t="s">
        <v>31</v>
      </c>
      <c r="E4" s="32" t="s">
        <v>32</v>
      </c>
      <c r="F4" s="32" t="s">
        <v>285</v>
      </c>
      <c r="G4" s="32" t="s">
        <v>99</v>
      </c>
      <c r="H4" s="4"/>
    </row>
    <row r="5" customFormat="false" ht="15" hidden="false" customHeight="false" outlineLevel="0" collapsed="false">
      <c r="A5" s="7" t="s">
        <v>286</v>
      </c>
      <c r="B5" s="79" t="n">
        <f aca="false">Вводные!$B$13</f>
        <v>0.4</v>
      </c>
      <c r="C5" s="80" t="n">
        <f aca="false">Билеты!$B$21</f>
        <v>0.673333333333333</v>
      </c>
      <c r="D5" s="79" t="n">
        <f aca="false">Вводные!$B$14</f>
        <v>0.9</v>
      </c>
      <c r="E5" s="79" t="n">
        <f aca="false">Вводные!$B$15</f>
        <v>1</v>
      </c>
      <c r="F5" s="79" t="n">
        <f aca="false">Экономика!$C$79</f>
        <v>0.939861111111111</v>
      </c>
      <c r="G5" s="3" t="s">
        <v>287</v>
      </c>
      <c r="H5" s="4"/>
    </row>
    <row r="6" customFormat="false" ht="15" hidden="false" customHeight="false" outlineLevel="0" collapsed="false">
      <c r="A6" s="7" t="s">
        <v>115</v>
      </c>
      <c r="B6" s="81" t="n">
        <f aca="false">ROUND(Вводные!$B$12*B5,0)</f>
        <v>120</v>
      </c>
      <c r="C6" s="82" t="n">
        <f aca="false">Билеты!$E$12</f>
        <v>202</v>
      </c>
      <c r="D6" s="81" t="n">
        <f aca="false">ROUND(Вводные!$B$12*D5,0)</f>
        <v>270</v>
      </c>
      <c r="E6" s="81" t="n">
        <f aca="false">ROUND(Вводные!$B$12*E5,0)</f>
        <v>300</v>
      </c>
      <c r="F6" s="81" t="n">
        <f aca="false">ROUND(Вводные!$B$12*F5,0)</f>
        <v>282</v>
      </c>
      <c r="G6" s="4"/>
      <c r="H6" s="4"/>
    </row>
    <row r="7" customFormat="false" ht="15" hidden="false" customHeight="false" outlineLevel="0" collapsed="false">
      <c r="A7" s="7" t="s">
        <v>116</v>
      </c>
      <c r="B7" s="81" t="n">
        <f aca="false">ROUND(B6*Билеты!$B$22,0)</f>
        <v>114</v>
      </c>
      <c r="C7" s="82" t="n">
        <f aca="false">Билеты!$B$17</f>
        <v>192</v>
      </c>
      <c r="D7" s="81" t="n">
        <f aca="false">ROUND(D6*Билеты!$B$22,0)</f>
        <v>257</v>
      </c>
      <c r="E7" s="81" t="n">
        <f aca="false">ROUND(E6*Билеты!$B$22,0)</f>
        <v>285</v>
      </c>
      <c r="F7" s="81" t="n">
        <f aca="false">ROUND(F6*Билеты!$B$22,0)</f>
        <v>268</v>
      </c>
      <c r="G7" s="4"/>
      <c r="H7" s="4"/>
    </row>
    <row r="8" customFormat="false" ht="15" hidden="false" customHeight="false" outlineLevel="0" collapsed="false">
      <c r="A8" s="7" t="s">
        <v>118</v>
      </c>
      <c r="B8" s="49" t="n">
        <f aca="false">Билеты!$B$19</f>
        <v>2427.60416666667</v>
      </c>
      <c r="C8" s="83" t="n">
        <f aca="false">Билеты!$B$19</f>
        <v>2427.60416666667</v>
      </c>
      <c r="D8" s="49" t="n">
        <f aca="false">Билеты!$B$19</f>
        <v>2427.60416666667</v>
      </c>
      <c r="E8" s="49" t="n">
        <f aca="false">Билеты!$B$19</f>
        <v>2427.60416666667</v>
      </c>
      <c r="F8" s="49" t="n">
        <f aca="false">Билеты!$B$19</f>
        <v>2427.60416666667</v>
      </c>
      <c r="G8" s="4"/>
      <c r="H8" s="4"/>
    </row>
    <row r="9" customFormat="false" ht="15" hidden="false" customHeight="false" outlineLevel="0" collapsed="false">
      <c r="A9" s="6" t="s">
        <v>252</v>
      </c>
      <c r="B9" s="41" t="n">
        <f aca="false">B7*B8</f>
        <v>276746.875</v>
      </c>
      <c r="C9" s="84" t="n">
        <f aca="false">Билеты!$F$12</f>
        <v>466100</v>
      </c>
      <c r="D9" s="41" t="n">
        <f aca="false">D7*D8</f>
        <v>623894.270833333</v>
      </c>
      <c r="E9" s="41" t="n">
        <f aca="false">E7*E8</f>
        <v>691867.1875</v>
      </c>
      <c r="F9" s="41" t="n">
        <f aca="false">F7*F8</f>
        <v>650597.916666667</v>
      </c>
      <c r="G9" s="4"/>
      <c r="H9" s="4"/>
    </row>
    <row r="10" customFormat="false" ht="15" hidden="false" customHeight="false" outlineLevel="0" collapsed="false">
      <c r="A10" s="7" t="s">
        <v>254</v>
      </c>
      <c r="B10" s="49" t="n">
        <f aca="false">-B9*Вводные!$B$18</f>
        <v>-16604.8125</v>
      </c>
      <c r="C10" s="83" t="n">
        <f aca="false">-C9*Вводные!$B$18</f>
        <v>-27966</v>
      </c>
      <c r="D10" s="49" t="n">
        <f aca="false">-D9*Вводные!$B$18</f>
        <v>-37433.65625</v>
      </c>
      <c r="E10" s="49" t="n">
        <f aca="false">-E9*Вводные!$B$18</f>
        <v>-41512.03125</v>
      </c>
      <c r="F10" s="49" t="n">
        <f aca="false">-F9*Вводные!$B$18</f>
        <v>-39035.875</v>
      </c>
      <c r="G10" s="4"/>
      <c r="H10" s="4"/>
    </row>
    <row r="11" customFormat="false" ht="15" hidden="false" customHeight="false" outlineLevel="0" collapsed="false">
      <c r="A11" s="7" t="s">
        <v>256</v>
      </c>
      <c r="B11" s="49" t="n">
        <f aca="false">-B9*Вводные!$B$19</f>
        <v>-22139.75</v>
      </c>
      <c r="C11" s="83" t="n">
        <f aca="false">-C9*Вводные!$B$19</f>
        <v>-37288</v>
      </c>
      <c r="D11" s="49" t="n">
        <f aca="false">-D9*Вводные!$B$19</f>
        <v>-49911.5416666667</v>
      </c>
      <c r="E11" s="49" t="n">
        <f aca="false">-E9*Вводные!$B$19</f>
        <v>-55349.375</v>
      </c>
      <c r="F11" s="49" t="n">
        <f aca="false">-F9*Вводные!$B$19</f>
        <v>-52047.8333333333</v>
      </c>
      <c r="G11" s="4"/>
      <c r="H11" s="4"/>
    </row>
    <row r="12" customFormat="false" ht="15" hidden="false" customHeight="false" outlineLevel="0" collapsed="false">
      <c r="A12" s="7" t="s">
        <v>288</v>
      </c>
      <c r="B12" s="49" t="n">
        <f aca="false">-IF(Вводные!$B$22="Фиксированной суммой",Вводные!$B$23,Технические!$E$22)</f>
        <v>-154500</v>
      </c>
      <c r="C12" s="83" t="n">
        <f aca="false">-IF(Вводные!$B$22="Фиксированной суммой",Вводные!$B$23,Технические!$E$22)</f>
        <v>-154500</v>
      </c>
      <c r="D12" s="49" t="n">
        <f aca="false">-IF(Вводные!$B$22="Фиксированной суммой",Вводные!$B$23,Технические!$E$22)</f>
        <v>-154500</v>
      </c>
      <c r="E12" s="49" t="n">
        <f aca="false">-IF(Вводные!$B$22="Фиксированной суммой",Вводные!$B$23,Технические!$E$22)</f>
        <v>-154500</v>
      </c>
      <c r="F12" s="49" t="n">
        <f aca="false">-IF(Вводные!$B$22="Фиксированной суммой",Вводные!$B$23,Технические!$E$22)</f>
        <v>-154500</v>
      </c>
      <c r="G12" s="4"/>
      <c r="H12" s="4"/>
    </row>
    <row r="13" customFormat="false" ht="15" hidden="false" customHeight="false" outlineLevel="0" collapsed="false">
      <c r="A13" s="7" t="s">
        <v>289</v>
      </c>
      <c r="B13" s="49" t="n">
        <f aca="false">-IF(Вводные!$B$37="Да",Гонорары!$E$13,0)</f>
        <v>-0</v>
      </c>
      <c r="C13" s="83" t="n">
        <f aca="false">-IF(Вводные!$B$37="Да",Гонорары!$E$13,0)</f>
        <v>-0</v>
      </c>
      <c r="D13" s="49" t="n">
        <f aca="false">-IF(Вводные!$B$37="Да",Гонорары!$E$13,0)</f>
        <v>-0</v>
      </c>
      <c r="E13" s="49" t="n">
        <f aca="false">-IF(Вводные!$B$37="Да",Гонорары!$E$13,0)</f>
        <v>-0</v>
      </c>
      <c r="F13" s="49" t="n">
        <f aca="false">-IF(Вводные!$B$37="Да",Гонорары!$E$13,0)</f>
        <v>-0</v>
      </c>
      <c r="G13" s="4"/>
      <c r="H13" s="4"/>
    </row>
    <row r="14" customFormat="false" ht="15" hidden="false" customHeight="false" outlineLevel="0" collapsed="false">
      <c r="A14" s="7" t="s">
        <v>290</v>
      </c>
      <c r="B14" s="49" t="n">
        <f aca="false">-IF(Вводные!$B$38="Да",Маркетинг!$B$14,0)</f>
        <v>-0</v>
      </c>
      <c r="C14" s="83" t="n">
        <f aca="false">-IF(Вводные!$B$38="Да",Маркетинг!$B$14,0)</f>
        <v>-0</v>
      </c>
      <c r="D14" s="49" t="n">
        <f aca="false">-IF(Вводные!$B$38="Да",Маркетинг!$B$14,0)</f>
        <v>-0</v>
      </c>
      <c r="E14" s="49" t="n">
        <f aca="false">-IF(Вводные!$B$38="Да",Маркетинг!$B$14,0)</f>
        <v>-0</v>
      </c>
      <c r="F14" s="49" t="n">
        <f aca="false">-IF(Вводные!$B$38="Да",Маркетинг!$B$14,0)</f>
        <v>-0</v>
      </c>
      <c r="G14" s="4"/>
      <c r="H14" s="4"/>
    </row>
    <row r="15" customFormat="false" ht="15" hidden="false" customHeight="false" outlineLevel="0" collapsed="false">
      <c r="A15" s="7" t="s">
        <v>291</v>
      </c>
      <c r="B15" s="49" t="n">
        <f aca="false">-IF(Вводные!$B$39="Да",Прочие!$E$19,0)</f>
        <v>-0</v>
      </c>
      <c r="C15" s="83" t="n">
        <f aca="false">-IF(Вводные!$B$39="Да",Прочие!$E$19,0)</f>
        <v>-0</v>
      </c>
      <c r="D15" s="49" t="n">
        <f aca="false">-IF(Вводные!$B$39="Да",Прочие!$E$19,0)</f>
        <v>-0</v>
      </c>
      <c r="E15" s="49" t="n">
        <f aca="false">-IF(Вводные!$B$39="Да",Прочие!$E$19,0)</f>
        <v>-0</v>
      </c>
      <c r="F15" s="49" t="n">
        <f aca="false">-IF(Вводные!$B$39="Да",Прочие!$E$19,0)</f>
        <v>-0</v>
      </c>
      <c r="G15" s="4"/>
      <c r="H15" s="4"/>
    </row>
    <row r="16" customFormat="false" ht="15" hidden="false" customHeight="false" outlineLevel="0" collapsed="false">
      <c r="A16" s="6" t="s">
        <v>264</v>
      </c>
      <c r="B16" s="41" t="n">
        <f aca="false">SUM(B9:B15)</f>
        <v>83502.3125</v>
      </c>
      <c r="C16" s="84" t="n">
        <f aca="false">SUM(C9:C15)</f>
        <v>246346</v>
      </c>
      <c r="D16" s="41" t="n">
        <f aca="false">SUM(D9:D15)</f>
        <v>382049.072916667</v>
      </c>
      <c r="E16" s="41" t="n">
        <f aca="false">SUM(E9:E15)</f>
        <v>440505.78125</v>
      </c>
      <c r="F16" s="41" t="n">
        <f aca="false">SUM(F9:F15)</f>
        <v>405014.208333333</v>
      </c>
      <c r="G16" s="3" t="s">
        <v>292</v>
      </c>
      <c r="H16" s="4"/>
    </row>
    <row r="17" customFormat="false" ht="15" hidden="false" customHeight="false" outlineLevel="0" collapsed="false">
      <c r="A17" s="7" t="s">
        <v>293</v>
      </c>
      <c r="B17" s="49" t="n">
        <f aca="false">-IF(B16&gt;=0,B16*Вводные!$B$27,IF(Вводные!$B$28="Да",B16*Вводные!$B$27,0))</f>
        <v>-41751.15625</v>
      </c>
      <c r="C17" s="83" t="n">
        <f aca="false">-IF(C16&gt;=0,C16*Вводные!$B$27,IF(Вводные!$B$28="Да",C16*Вводные!$B$27,0))</f>
        <v>-123173</v>
      </c>
      <c r="D17" s="49" t="n">
        <f aca="false">-IF(D16&gt;=0,D16*Вводные!$B$27,IF(Вводные!$B$28="Да",D16*Вводные!$B$27,0))</f>
        <v>-191024.536458333</v>
      </c>
      <c r="E17" s="49" t="n">
        <f aca="false">-IF(E16&gt;=0,E16*Вводные!$B$27,IF(Вводные!$B$28="Да",E16*Вводные!$B$27,0))</f>
        <v>-220252.890625</v>
      </c>
      <c r="F17" s="49" t="n">
        <f aca="false">-IF(F16&gt;=0,F16*Вводные!$B$27,IF(Вводные!$B$28="Да",F16*Вводные!$B$27,0))</f>
        <v>-202507.104166667</v>
      </c>
      <c r="G17" s="4"/>
      <c r="H17" s="4"/>
    </row>
    <row r="18" customFormat="false" ht="15" hidden="false" customHeight="false" outlineLevel="0" collapsed="false">
      <c r="A18" s="6" t="s">
        <v>268</v>
      </c>
      <c r="B18" s="85" t="n">
        <f aca="false">B16+B17</f>
        <v>41751.15625</v>
      </c>
      <c r="C18" s="86" t="n">
        <f aca="false">C16+C17</f>
        <v>123173</v>
      </c>
      <c r="D18" s="85" t="n">
        <f aca="false">D16+D17</f>
        <v>191024.536458333</v>
      </c>
      <c r="E18" s="85" t="n">
        <f aca="false">E16+E17</f>
        <v>220252.890625</v>
      </c>
      <c r="F18" s="85" t="n">
        <f aca="false">F16+F17</f>
        <v>202507.104166667</v>
      </c>
      <c r="G18" s="3" t="s">
        <v>294</v>
      </c>
      <c r="H18" s="4"/>
    </row>
    <row r="19" customFormat="false" ht="15" hidden="false" customHeight="false" outlineLevel="0" collapsed="false">
      <c r="A19" s="7" t="s">
        <v>295</v>
      </c>
      <c r="B19" s="49" t="n">
        <f aca="false">-MAX(0,B18)*Вводные!$B$31</f>
        <v>-2922.5809375</v>
      </c>
      <c r="C19" s="83" t="n">
        <f aca="false">-MAX(0,C18)*Вводные!$B$31</f>
        <v>-8622.11</v>
      </c>
      <c r="D19" s="49" t="n">
        <f aca="false">-MAX(0,D18)*Вводные!$B$31</f>
        <v>-13371.7175520833</v>
      </c>
      <c r="E19" s="49" t="n">
        <f aca="false">-MAX(0,E18)*Вводные!$B$31</f>
        <v>-15417.70234375</v>
      </c>
      <c r="F19" s="49" t="n">
        <f aca="false">-MAX(0,F18)*Вводные!$B$31</f>
        <v>-14175.4972916667</v>
      </c>
      <c r="G19" s="4"/>
      <c r="H19" s="4"/>
    </row>
    <row r="20" customFormat="false" ht="15" hidden="false" customHeight="false" outlineLevel="0" collapsed="false">
      <c r="A20" s="7" t="s">
        <v>296</v>
      </c>
      <c r="B20" s="49" t="n">
        <f aca="false">-MAX(0,B18)*Вводные!$B$32</f>
        <v>-417.5115625</v>
      </c>
      <c r="C20" s="83" t="n">
        <f aca="false">-MAX(0,C18)*Вводные!$B$32</f>
        <v>-1231.73</v>
      </c>
      <c r="D20" s="49" t="n">
        <f aca="false">-MAX(0,D18)*Вводные!$B$32</f>
        <v>-1910.24536458333</v>
      </c>
      <c r="E20" s="49" t="n">
        <f aca="false">-MAX(0,E18)*Вводные!$B$32</f>
        <v>-2202.52890625</v>
      </c>
      <c r="F20" s="49" t="n">
        <f aca="false">-MAX(0,F18)*Вводные!$B$32</f>
        <v>-2025.07104166667</v>
      </c>
      <c r="G20" s="4"/>
      <c r="H20" s="4"/>
    </row>
    <row r="21" customFormat="false" ht="15" hidden="false" customHeight="false" outlineLevel="0" collapsed="false">
      <c r="A21" s="7" t="s">
        <v>297</v>
      </c>
      <c r="B21" s="49" t="n">
        <f aca="false">-IF(Вводные!$B$37="Нет",Гонорары!$E$13,0)</f>
        <v>-49000</v>
      </c>
      <c r="C21" s="83" t="n">
        <f aca="false">-IF(Вводные!$B$37="Нет",Гонорары!$E$13,0)</f>
        <v>-49000</v>
      </c>
      <c r="D21" s="49" t="n">
        <f aca="false">-IF(Вводные!$B$37="Нет",Гонорары!$E$13,0)</f>
        <v>-49000</v>
      </c>
      <c r="E21" s="49" t="n">
        <f aca="false">-IF(Вводные!$B$37="Нет",Гонорары!$E$13,0)</f>
        <v>-49000</v>
      </c>
      <c r="F21" s="49" t="n">
        <f aca="false">-IF(Вводные!$B$37="Нет",Гонорары!$E$13,0)</f>
        <v>-49000</v>
      </c>
      <c r="G21" s="4"/>
      <c r="H21" s="4"/>
    </row>
    <row r="22" customFormat="false" ht="15" hidden="false" customHeight="false" outlineLevel="0" collapsed="false">
      <c r="A22" s="7" t="s">
        <v>298</v>
      </c>
      <c r="B22" s="49" t="n">
        <f aca="false">-IF(Вводные!$B$38="Нет",Маркетинг!$B$14,0)</f>
        <v>-60000</v>
      </c>
      <c r="C22" s="83" t="n">
        <f aca="false">-IF(Вводные!$B$38="Нет",Маркетинг!$B$14,0)</f>
        <v>-60000</v>
      </c>
      <c r="D22" s="49" t="n">
        <f aca="false">-IF(Вводные!$B$38="Нет",Маркетинг!$B$14,0)</f>
        <v>-60000</v>
      </c>
      <c r="E22" s="49" t="n">
        <f aca="false">-IF(Вводные!$B$38="Нет",Маркетинг!$B$14,0)</f>
        <v>-60000</v>
      </c>
      <c r="F22" s="49" t="n">
        <f aca="false">-IF(Вводные!$B$38="Нет",Маркетинг!$B$14,0)</f>
        <v>-60000</v>
      </c>
      <c r="G22" s="4"/>
      <c r="H22" s="4"/>
    </row>
    <row r="23" customFormat="false" ht="15" hidden="false" customHeight="false" outlineLevel="0" collapsed="false">
      <c r="A23" s="7" t="s">
        <v>299</v>
      </c>
      <c r="B23" s="49" t="n">
        <f aca="false">-IF(Вводные!$B$39="Нет",Прочие!$E$19,0)</f>
        <v>-76450</v>
      </c>
      <c r="C23" s="83" t="n">
        <f aca="false">-IF(Вводные!$B$39="Нет",Прочие!$E$19,0)</f>
        <v>-76450</v>
      </c>
      <c r="D23" s="49" t="n">
        <f aca="false">-IF(Вводные!$B$39="Нет",Прочие!$E$19,0)</f>
        <v>-76450</v>
      </c>
      <c r="E23" s="49" t="n">
        <f aca="false">-IF(Вводные!$B$39="Нет",Прочие!$E$19,0)</f>
        <v>-76450</v>
      </c>
      <c r="F23" s="49" t="n">
        <f aca="false">-IF(Вводные!$B$39="Нет",Прочие!$E$19,0)</f>
        <v>-76450</v>
      </c>
      <c r="G23" s="4"/>
      <c r="H23" s="4"/>
    </row>
    <row r="24" customFormat="false" ht="21.75" hidden="false" customHeight="true" outlineLevel="0" collapsed="false">
      <c r="A24" s="6" t="s">
        <v>20</v>
      </c>
      <c r="B24" s="87" t="n">
        <f aca="false">B18+SUM(B19:B23)</f>
        <v>-147038.93625</v>
      </c>
      <c r="C24" s="88" t="n">
        <f aca="false">C18+SUM(C19:C23)</f>
        <v>-72130.84</v>
      </c>
      <c r="D24" s="87" t="n">
        <f aca="false">D18+SUM(D19:D23)</f>
        <v>-9707.42645833336</v>
      </c>
      <c r="E24" s="87" t="n">
        <f aca="false">E18+SUM(E19:E23)</f>
        <v>17182.659375</v>
      </c>
      <c r="F24" s="87" t="n">
        <f aca="false">F18+SUM(F19:F23)</f>
        <v>856.535833333299</v>
      </c>
      <c r="G24" s="3" t="s">
        <v>300</v>
      </c>
      <c r="H24" s="4"/>
    </row>
    <row r="25" customFormat="false" ht="15" hidden="false" customHeight="false" outlineLevel="0" collapsed="false">
      <c r="A25" s="7" t="s">
        <v>279</v>
      </c>
      <c r="B25" s="79" t="n">
        <f aca="false">IFERROR(B24/B9,0)</f>
        <v>-0.531312002168046</v>
      </c>
      <c r="C25" s="80" t="n">
        <f aca="false">IFERROR(C24/C9,0)</f>
        <v>-0.154754001287277</v>
      </c>
      <c r="D25" s="79" t="n">
        <f aca="false">IFERROR(D24/D9,0)</f>
        <v>-0.0155594095220127</v>
      </c>
      <c r="E25" s="79" t="n">
        <f aca="false">IFERROR(E24/E9,0)</f>
        <v>0.0248351991327815</v>
      </c>
      <c r="F25" s="79" t="n">
        <f aca="false">IFERROR(F24/F9,0)</f>
        <v>0.00131653639120419</v>
      </c>
      <c r="G25" s="4"/>
      <c r="H25" s="4"/>
    </row>
    <row r="26" customFormat="false" ht="15" hidden="false" customHeight="false" outlineLevel="0" collapsed="false">
      <c r="A26" s="7" t="s">
        <v>301</v>
      </c>
      <c r="B26" s="49" t="n">
        <f aca="false">B24-$C$24</f>
        <v>-74908.09625</v>
      </c>
      <c r="C26" s="49" t="n">
        <f aca="false">C24-$C$24</f>
        <v>0</v>
      </c>
      <c r="D26" s="49" t="n">
        <f aca="false">D24-$C$24</f>
        <v>62423.4135416666</v>
      </c>
      <c r="E26" s="49" t="n">
        <f aca="false">E24-$C$24</f>
        <v>89313.499375</v>
      </c>
      <c r="F26" s="49" t="n">
        <f aca="false">F24-$C$24</f>
        <v>72987.3758333333</v>
      </c>
      <c r="G26" s="4"/>
      <c r="H26" s="4"/>
    </row>
  </sheetData>
  <conditionalFormatting sqref="B24:F24">
    <cfRule type="cellIs" priority="2" operator="lessThan" aboveAverage="0" equalAverage="0" bottom="0" percent="0" rank="0" text="" dxfId="0">
      <formula>0</formula>
    </cfRule>
  </conditionalFormatting>
  <conditionalFormatting sqref="B16:F16">
    <cfRule type="cellIs" priority="3" operator="lessThan" aboveAverage="0" equalAverage="0" bottom="0" percent="0" rank="0" text="" dxfId="0">
      <formula>0</formula>
    </cfRule>
  </conditionalFormatting>
  <conditionalFormatting sqref="B18:F18">
    <cfRule type="cellIs" priority="4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5"/>
  </cols>
  <sheetData>
    <row r="1" customFormat="false" ht="30" hidden="false" customHeight="true" outlineLevel="0" collapsed="false">
      <c r="A1" s="1" t="s">
        <v>302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303</v>
      </c>
      <c r="B2" s="4"/>
      <c r="C2" s="4"/>
      <c r="D2" s="4"/>
      <c r="E2" s="4"/>
      <c r="F2" s="4"/>
      <c r="G2" s="4"/>
      <c r="H2" s="4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</row>
    <row r="4" customFormat="false" ht="15" hidden="false" customHeight="false" outlineLevel="0" collapsed="false">
      <c r="A4" s="89" t="s">
        <v>304</v>
      </c>
      <c r="B4" s="4"/>
      <c r="C4" s="4"/>
      <c r="D4" s="4"/>
      <c r="E4" s="4"/>
      <c r="F4" s="4"/>
      <c r="G4" s="4"/>
      <c r="H4" s="4"/>
    </row>
    <row r="5" customFormat="false" ht="31.5" hidden="false" customHeight="true" outlineLevel="0" collapsed="false">
      <c r="A5" s="32" t="s">
        <v>305</v>
      </c>
      <c r="B5" s="90" t="n">
        <v>1500</v>
      </c>
      <c r="C5" s="90" t="n">
        <v>2000</v>
      </c>
      <c r="D5" s="90" t="n">
        <v>2500</v>
      </c>
      <c r="E5" s="90" t="n">
        <v>3000</v>
      </c>
      <c r="F5" s="90" t="n">
        <v>3500</v>
      </c>
      <c r="G5" s="90" t="n">
        <v>4000</v>
      </c>
      <c r="H5" s="90" t="n">
        <v>4500</v>
      </c>
    </row>
    <row r="6" customFormat="false" ht="15" hidden="false" customHeight="false" outlineLevel="0" collapsed="false">
      <c r="A6" s="91" t="n">
        <v>0.3</v>
      </c>
      <c r="B6" s="49" t="n">
        <f aca="false">(Вводные!$B$12*$A6*Билеты!$B$22*B$5)*(1-Вводные!$B$18-Вводные!$B$19)-Экономика!$C$75</f>
        <v>-44147.5247524753</v>
      </c>
      <c r="C6" s="49" t="n">
        <f aca="false">(Вводные!$B$12*$A6*Билеты!$B$22*C$5)*(1-Вводные!$B$18-Вводные!$B$19)-Экономика!$C$75</f>
        <v>-7363.36633663368</v>
      </c>
      <c r="D6" s="49" t="n">
        <f aca="false">(Вводные!$B$12*$A6*Билеты!$B$22*D$5)*(1-Вводные!$B$18-Вводные!$B$19)-Экономика!$C$75</f>
        <v>29420.7920792079</v>
      </c>
      <c r="E6" s="49" t="n">
        <f aca="false">(Вводные!$B$12*$A6*Билеты!$B$22*E$5)*(1-Вводные!$B$18-Вводные!$B$19)-Экономика!$C$75</f>
        <v>66204.9504950495</v>
      </c>
      <c r="F6" s="49" t="n">
        <f aca="false">(Вводные!$B$12*$A6*Билеты!$B$22*F$5)*(1-Вводные!$B$18-Вводные!$B$19)-Экономика!$C$75</f>
        <v>102989.108910891</v>
      </c>
      <c r="G6" s="49" t="n">
        <f aca="false">(Вводные!$B$12*$A6*Билеты!$B$22*G$5)*(1-Вводные!$B$18-Вводные!$B$19)-Экономика!$C$75</f>
        <v>139773.267326733</v>
      </c>
      <c r="H6" s="49" t="n">
        <f aca="false">(Вводные!$B$12*$A6*Билеты!$B$22*H$5)*(1-Вводные!$B$18-Вводные!$B$19)-Экономика!$C$75</f>
        <v>176557.425742574</v>
      </c>
    </row>
    <row r="7" customFormat="false" ht="15" hidden="false" customHeight="false" outlineLevel="0" collapsed="false">
      <c r="A7" s="91" t="n">
        <v>0.4</v>
      </c>
      <c r="B7" s="49" t="n">
        <f aca="false">(Вводные!$B$12*$A7*Билеты!$B$22*B$5)*(1-Вводные!$B$18-Вводные!$B$19)-Экономика!$C$75</f>
        <v>-7363.36633663368</v>
      </c>
      <c r="C7" s="49" t="n">
        <f aca="false">(Вводные!$B$12*$A7*Билеты!$B$22*C$5)*(1-Вводные!$B$18-Вводные!$B$19)-Экономика!$C$75</f>
        <v>41682.1782178218</v>
      </c>
      <c r="D7" s="49" t="n">
        <f aca="false">(Вводные!$B$12*$A7*Билеты!$B$22*D$5)*(1-Вводные!$B$18-Вводные!$B$19)-Экономика!$C$75</f>
        <v>90727.7227722772</v>
      </c>
      <c r="E7" s="49" t="n">
        <f aca="false">(Вводные!$B$12*$A7*Билеты!$B$22*E$5)*(1-Вводные!$B$18-Вводные!$B$19)-Экономика!$C$75</f>
        <v>139773.267326733</v>
      </c>
      <c r="F7" s="49" t="n">
        <f aca="false">(Вводные!$B$12*$A7*Билеты!$B$22*F$5)*(1-Вводные!$B$18-Вводные!$B$19)-Экономика!$C$75</f>
        <v>188818.811881188</v>
      </c>
      <c r="G7" s="49" t="n">
        <f aca="false">(Вводные!$B$12*$A7*Билеты!$B$22*G$5)*(1-Вводные!$B$18-Вводные!$B$19)-Экономика!$C$75</f>
        <v>237864.356435644</v>
      </c>
      <c r="H7" s="49" t="n">
        <f aca="false">(Вводные!$B$12*$A7*Билеты!$B$22*H$5)*(1-Вводные!$B$18-Вводные!$B$19)-Экономика!$C$75</f>
        <v>286909.900990099</v>
      </c>
    </row>
    <row r="8" customFormat="false" ht="15" hidden="false" customHeight="false" outlineLevel="0" collapsed="false">
      <c r="A8" s="91" t="n">
        <v>0.5</v>
      </c>
      <c r="B8" s="49" t="n">
        <f aca="false">(Вводные!$B$12*$A8*Билеты!$B$22*B$5)*(1-Вводные!$B$18-Вводные!$B$19)-Экономика!$C$75</f>
        <v>29420.7920792079</v>
      </c>
      <c r="C8" s="49" t="n">
        <f aca="false">(Вводные!$B$12*$A8*Билеты!$B$22*C$5)*(1-Вводные!$B$18-Вводные!$B$19)-Экономика!$C$75</f>
        <v>90727.7227722772</v>
      </c>
      <c r="D8" s="49" t="n">
        <f aca="false">(Вводные!$B$12*$A8*Билеты!$B$22*D$5)*(1-Вводные!$B$18-Вводные!$B$19)-Экономика!$C$75</f>
        <v>152034.653465347</v>
      </c>
      <c r="E8" s="49" t="n">
        <f aca="false">(Вводные!$B$12*$A8*Билеты!$B$22*E$5)*(1-Вводные!$B$18-Вводные!$B$19)-Экономика!$C$75</f>
        <v>213341.584158416</v>
      </c>
      <c r="F8" s="49" t="n">
        <f aca="false">(Вводные!$B$12*$A8*Билеты!$B$22*F$5)*(1-Вводные!$B$18-Вводные!$B$19)-Экономика!$C$75</f>
        <v>274648.514851485</v>
      </c>
      <c r="G8" s="49" t="n">
        <f aca="false">(Вводные!$B$12*$A8*Билеты!$B$22*G$5)*(1-Вводные!$B$18-Вводные!$B$19)-Экономика!$C$75</f>
        <v>335955.445544554</v>
      </c>
      <c r="H8" s="49" t="n">
        <f aca="false">(Вводные!$B$12*$A8*Билеты!$B$22*H$5)*(1-Вводные!$B$18-Вводные!$B$19)-Экономика!$C$75</f>
        <v>397262.376237624</v>
      </c>
    </row>
    <row r="9" customFormat="false" ht="15" hidden="false" customHeight="false" outlineLevel="0" collapsed="false">
      <c r="A9" s="91" t="n">
        <v>0.6</v>
      </c>
      <c r="B9" s="49" t="n">
        <f aca="false">(Вводные!$B$12*$A9*Билеты!$B$22*B$5)*(1-Вводные!$B$18-Вводные!$B$19)-Экономика!$C$75</f>
        <v>66204.9504950495</v>
      </c>
      <c r="C9" s="49" t="n">
        <f aca="false">(Вводные!$B$12*$A9*Билеты!$B$22*C$5)*(1-Вводные!$B$18-Вводные!$B$19)-Экономика!$C$75</f>
        <v>139773.267326733</v>
      </c>
      <c r="D9" s="49" t="n">
        <f aca="false">(Вводные!$B$12*$A9*Билеты!$B$22*D$5)*(1-Вводные!$B$18-Вводные!$B$19)-Экономика!$C$75</f>
        <v>213341.584158416</v>
      </c>
      <c r="E9" s="49" t="n">
        <f aca="false">(Вводные!$B$12*$A9*Билеты!$B$22*E$5)*(1-Вводные!$B$18-Вводные!$B$19)-Экономика!$C$75</f>
        <v>286909.900990099</v>
      </c>
      <c r="F9" s="49" t="n">
        <f aca="false">(Вводные!$B$12*$A9*Билеты!$B$22*F$5)*(1-Вводные!$B$18-Вводные!$B$19)-Экономика!$C$75</f>
        <v>360478.217821782</v>
      </c>
      <c r="G9" s="49" t="n">
        <f aca="false">(Вводные!$B$12*$A9*Билеты!$B$22*G$5)*(1-Вводные!$B$18-Вводные!$B$19)-Экономика!$C$75</f>
        <v>434046.534653465</v>
      </c>
      <c r="H9" s="49" t="n">
        <f aca="false">(Вводные!$B$12*$A9*Билеты!$B$22*H$5)*(1-Вводные!$B$18-Вводные!$B$19)-Экономика!$C$75</f>
        <v>507614.851485148</v>
      </c>
    </row>
    <row r="10" customFormat="false" ht="15" hidden="false" customHeight="false" outlineLevel="0" collapsed="false">
      <c r="A10" s="91" t="n">
        <v>0.7</v>
      </c>
      <c r="B10" s="49" t="n">
        <f aca="false">(Вводные!$B$12*$A10*Билеты!$B$22*B$5)*(1-Вводные!$B$18-Вводные!$B$19)-Экономика!$C$75</f>
        <v>102989.108910891</v>
      </c>
      <c r="C10" s="49" t="n">
        <f aca="false">(Вводные!$B$12*$A10*Билеты!$B$22*C$5)*(1-Вводные!$B$18-Вводные!$B$19)-Экономика!$C$75</f>
        <v>188818.811881188</v>
      </c>
      <c r="D10" s="49" t="n">
        <f aca="false">(Вводные!$B$12*$A10*Билеты!$B$22*D$5)*(1-Вводные!$B$18-Вводные!$B$19)-Экономика!$C$75</f>
        <v>274648.514851485</v>
      </c>
      <c r="E10" s="49" t="n">
        <f aca="false">(Вводные!$B$12*$A10*Билеты!$B$22*E$5)*(1-Вводные!$B$18-Вводные!$B$19)-Экономика!$C$75</f>
        <v>360478.217821782</v>
      </c>
      <c r="F10" s="49" t="n">
        <f aca="false">(Вводные!$B$12*$A10*Билеты!$B$22*F$5)*(1-Вводные!$B$18-Вводные!$B$19)-Экономика!$C$75</f>
        <v>446307.920792079</v>
      </c>
      <c r="G10" s="49" t="n">
        <f aca="false">(Вводные!$B$12*$A10*Билеты!$B$22*G$5)*(1-Вводные!$B$18-Вводные!$B$19)-Экономика!$C$75</f>
        <v>532137.623762376</v>
      </c>
      <c r="H10" s="49" t="n">
        <f aca="false">(Вводные!$B$12*$A10*Билеты!$B$22*H$5)*(1-Вводные!$B$18-Вводные!$B$19)-Экономика!$C$75</f>
        <v>617967.326732673</v>
      </c>
    </row>
    <row r="11" customFormat="false" ht="15" hidden="false" customHeight="false" outlineLevel="0" collapsed="false">
      <c r="A11" s="91" t="n">
        <v>0.8</v>
      </c>
      <c r="B11" s="49" t="n">
        <f aca="false">(Вводные!$B$12*$A11*Билеты!$B$22*B$5)*(1-Вводные!$B$18-Вводные!$B$19)-Экономика!$C$75</f>
        <v>139773.267326733</v>
      </c>
      <c r="C11" s="49" t="n">
        <f aca="false">(Вводные!$B$12*$A11*Билеты!$B$22*C$5)*(1-Вводные!$B$18-Вводные!$B$19)-Экономика!$C$75</f>
        <v>237864.356435644</v>
      </c>
      <c r="D11" s="49" t="n">
        <f aca="false">(Вводные!$B$12*$A11*Билеты!$B$22*D$5)*(1-Вводные!$B$18-Вводные!$B$19)-Экономика!$C$75</f>
        <v>335955.445544554</v>
      </c>
      <c r="E11" s="49" t="n">
        <f aca="false">(Вводные!$B$12*$A11*Билеты!$B$22*E$5)*(1-Вводные!$B$18-Вводные!$B$19)-Экономика!$C$75</f>
        <v>434046.534653465</v>
      </c>
      <c r="F11" s="49" t="n">
        <f aca="false">(Вводные!$B$12*$A11*Билеты!$B$22*F$5)*(1-Вводные!$B$18-Вводные!$B$19)-Экономика!$C$75</f>
        <v>532137.623762376</v>
      </c>
      <c r="G11" s="49" t="n">
        <f aca="false">(Вводные!$B$12*$A11*Билеты!$B$22*G$5)*(1-Вводные!$B$18-Вводные!$B$19)-Экономика!$C$75</f>
        <v>630228.712871287</v>
      </c>
      <c r="H11" s="49" t="n">
        <f aca="false">(Вводные!$B$12*$A11*Билеты!$B$22*H$5)*(1-Вводные!$B$18-Вводные!$B$19)-Экономика!$C$75</f>
        <v>728319.801980198</v>
      </c>
    </row>
    <row r="12" customFormat="false" ht="15" hidden="false" customHeight="false" outlineLevel="0" collapsed="false">
      <c r="A12" s="91" t="n">
        <v>0.9</v>
      </c>
      <c r="B12" s="49" t="n">
        <f aca="false">(Вводные!$B$12*$A12*Билеты!$B$22*B$5)*(1-Вводные!$B$18-Вводные!$B$19)-Экономика!$C$75</f>
        <v>176557.425742574</v>
      </c>
      <c r="C12" s="49" t="n">
        <f aca="false">(Вводные!$B$12*$A12*Билеты!$B$22*C$5)*(1-Вводные!$B$18-Вводные!$B$19)-Экономика!$C$75</f>
        <v>286909.900990099</v>
      </c>
      <c r="D12" s="49" t="n">
        <f aca="false">(Вводные!$B$12*$A12*Билеты!$B$22*D$5)*(1-Вводные!$B$18-Вводные!$B$19)-Экономика!$C$75</f>
        <v>397262.376237624</v>
      </c>
      <c r="E12" s="49" t="n">
        <f aca="false">(Вводные!$B$12*$A12*Билеты!$B$22*E$5)*(1-Вводные!$B$18-Вводные!$B$19)-Экономика!$C$75</f>
        <v>507614.851485149</v>
      </c>
      <c r="F12" s="49" t="n">
        <f aca="false">(Вводные!$B$12*$A12*Билеты!$B$22*F$5)*(1-Вводные!$B$18-Вводные!$B$19)-Экономика!$C$75</f>
        <v>617967.326732673</v>
      </c>
      <c r="G12" s="49" t="n">
        <f aca="false">(Вводные!$B$12*$A12*Билеты!$B$22*G$5)*(1-Вводные!$B$18-Вводные!$B$19)-Экономика!$C$75</f>
        <v>728319.801980198</v>
      </c>
      <c r="H12" s="49" t="n">
        <f aca="false">(Вводные!$B$12*$A12*Билеты!$B$22*H$5)*(1-Вводные!$B$18-Вводные!$B$19)-Экономика!$C$75</f>
        <v>838672.277227723</v>
      </c>
    </row>
    <row r="13" customFormat="false" ht="15" hidden="false" customHeight="false" outlineLevel="0" collapsed="false">
      <c r="A13" s="91" t="n">
        <v>1</v>
      </c>
      <c r="B13" s="49" t="n">
        <f aca="false">(Вводные!$B$12*$A13*Билеты!$B$22*B$5)*(1-Вводные!$B$18-Вводные!$B$19)-Экономика!$C$75</f>
        <v>213341.584158416</v>
      </c>
      <c r="C13" s="49" t="n">
        <f aca="false">(Вводные!$B$12*$A13*Билеты!$B$22*C$5)*(1-Вводные!$B$18-Вводные!$B$19)-Экономика!$C$75</f>
        <v>335955.445544554</v>
      </c>
      <c r="D13" s="49" t="n">
        <f aca="false">(Вводные!$B$12*$A13*Билеты!$B$22*D$5)*(1-Вводные!$B$18-Вводные!$B$19)-Экономика!$C$75</f>
        <v>458569.306930693</v>
      </c>
      <c r="E13" s="49" t="n">
        <f aca="false">(Вводные!$B$12*$A13*Билеты!$B$22*E$5)*(1-Вводные!$B$18-Вводные!$B$19)-Экономика!$C$75</f>
        <v>581183.168316832</v>
      </c>
      <c r="F13" s="49" t="n">
        <f aca="false">(Вводные!$B$12*$A13*Билеты!$B$22*F$5)*(1-Вводные!$B$18-Вводные!$B$19)-Экономика!$C$75</f>
        <v>703797.02970297</v>
      </c>
      <c r="G13" s="49" t="n">
        <f aca="false">(Вводные!$B$12*$A13*Билеты!$B$22*G$5)*(1-Вводные!$B$18-Вводные!$B$19)-Экономика!$C$75</f>
        <v>826410.891089109</v>
      </c>
      <c r="H13" s="49" t="n">
        <f aca="false">(Вводные!$B$12*$A13*Билеты!$B$22*H$5)*(1-Вводные!$B$18-Вводные!$B$19)-Экономика!$C$75</f>
        <v>949024.752475248</v>
      </c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</row>
    <row r="15" customFormat="false" ht="15" hidden="false" customHeight="false" outlineLevel="0" collapsed="false">
      <c r="A15" s="89" t="s">
        <v>306</v>
      </c>
      <c r="B15" s="4"/>
      <c r="C15" s="4"/>
      <c r="D15" s="4"/>
      <c r="E15" s="4"/>
      <c r="F15" s="4"/>
      <c r="G15" s="4"/>
      <c r="H15" s="4"/>
    </row>
    <row r="16" customFormat="false" ht="31.5" hidden="false" customHeight="true" outlineLevel="0" collapsed="false">
      <c r="A16" s="32" t="s">
        <v>305</v>
      </c>
      <c r="B16" s="90" t="n">
        <v>1500</v>
      </c>
      <c r="C16" s="90" t="n">
        <v>2000</v>
      </c>
      <c r="D16" s="90" t="n">
        <v>2500</v>
      </c>
      <c r="E16" s="90" t="n">
        <v>3000</v>
      </c>
      <c r="F16" s="90" t="n">
        <v>3500</v>
      </c>
      <c r="G16" s="90" t="n">
        <v>4000</v>
      </c>
      <c r="H16" s="90" t="n">
        <v>4500</v>
      </c>
    </row>
    <row r="17" customFormat="false" ht="15" hidden="false" customHeight="false" outlineLevel="0" collapsed="false">
      <c r="A17" s="91" t="n">
        <v>0.3</v>
      </c>
      <c r="B17" s="49" t="n">
        <f aca="false">IF(B6&gt;=0,B6*Вводные!$B$26,IF(Вводные!$B$28="Да",B6*Вводные!$B$26,B6))-MAX(0,IF(B6&gt;=0,B6*Вводные!$B$26,IF(Вводные!$B$28="Да",B6*Вводные!$B$26,B6)))*Вводные!$B$33-Экономика!$C$76</f>
        <v>-229597.524752475</v>
      </c>
      <c r="C17" s="49" t="n">
        <f aca="false">IF(C6&gt;=0,C6*Вводные!$B$26,IF(Вводные!$B$28="Да",C6*Вводные!$B$26,C6))-MAX(0,IF(C6&gt;=0,C6*Вводные!$B$26,IF(Вводные!$B$28="Да",C6*Вводные!$B$26,C6)))*Вводные!$B$33-Экономика!$C$76</f>
        <v>-192813.366336634</v>
      </c>
      <c r="D17" s="49" t="n">
        <f aca="false">IF(D6&gt;=0,D6*Вводные!$B$26,IF(Вводные!$B$28="Да",D6*Вводные!$B$26,D6))-MAX(0,IF(D6&gt;=0,D6*Вводные!$B$26,IF(Вводные!$B$28="Да",D6*Вводные!$B$26,D6)))*Вводные!$B$33-Экономика!$C$76</f>
        <v>-171916.435643564</v>
      </c>
      <c r="E17" s="49" t="n">
        <f aca="false">IF(E6&gt;=0,E6*Вводные!$B$26,IF(Вводные!$B$28="Да",E6*Вводные!$B$26,E6))-MAX(0,IF(E6&gt;=0,E6*Вводные!$B$26,IF(Вводные!$B$28="Да",E6*Вводные!$B$26,E6)))*Вводные!$B$33-Экономика!$C$76</f>
        <v>-154995.722772277</v>
      </c>
      <c r="F17" s="49" t="n">
        <f aca="false">IF(F6&gt;=0,F6*Вводные!$B$26,IF(Вводные!$B$28="Да",F6*Вводные!$B$26,F6))-MAX(0,IF(F6&gt;=0,F6*Вводные!$B$26,IF(Вводные!$B$28="Да",F6*Вводные!$B$26,F6)))*Вводные!$B$33-Экономика!$C$76</f>
        <v>-138075.00990099</v>
      </c>
      <c r="G17" s="49" t="n">
        <f aca="false">IF(G6&gt;=0,G6*Вводные!$B$26,IF(Вводные!$B$28="Да",G6*Вводные!$B$26,G6))-MAX(0,IF(G6&gt;=0,G6*Вводные!$B$26,IF(Вводные!$B$28="Да",G6*Вводные!$B$26,G6)))*Вводные!$B$33-Экономика!$C$76</f>
        <v>-121154.297029703</v>
      </c>
      <c r="H17" s="49" t="n">
        <f aca="false">IF(H6&gt;=0,H6*Вводные!$B$26,IF(Вводные!$B$28="Да",H6*Вводные!$B$26,H6))-MAX(0,IF(H6&gt;=0,H6*Вводные!$B$26,IF(Вводные!$B$28="Да",H6*Вводные!$B$26,H6)))*Вводные!$B$33-Экономика!$C$76</f>
        <v>-104233.584158416</v>
      </c>
    </row>
    <row r="18" customFormat="false" ht="15" hidden="false" customHeight="false" outlineLevel="0" collapsed="false">
      <c r="A18" s="91" t="n">
        <v>0.4</v>
      </c>
      <c r="B18" s="49" t="n">
        <f aca="false">IF(B7&gt;=0,B7*Вводные!$B$26,IF(Вводные!$B$28="Да",B7*Вводные!$B$26,B7))-MAX(0,IF(B7&gt;=0,B7*Вводные!$B$26,IF(Вводные!$B$28="Да",B7*Вводные!$B$26,B7)))*Вводные!$B$33-Экономика!$C$76</f>
        <v>-192813.366336634</v>
      </c>
      <c r="C18" s="49" t="n">
        <f aca="false">IF(C7&gt;=0,C7*Вводные!$B$26,IF(Вводные!$B$28="Да",C7*Вводные!$B$26,C7))-MAX(0,IF(C7&gt;=0,C7*Вводные!$B$26,IF(Вводные!$B$28="Да",C7*Вводные!$B$26,C7)))*Вводные!$B$33-Экономика!$C$76</f>
        <v>-166276.198019802</v>
      </c>
      <c r="D18" s="49" t="n">
        <f aca="false">IF(D7&gt;=0,D7*Вводные!$B$26,IF(Вводные!$B$28="Да",D7*Вводные!$B$26,D7))-MAX(0,IF(D7&gt;=0,D7*Вводные!$B$26,IF(Вводные!$B$28="Да",D7*Вводные!$B$26,D7)))*Вводные!$B$33-Экономика!$C$76</f>
        <v>-143715.247524752</v>
      </c>
      <c r="E18" s="49" t="n">
        <f aca="false">IF(E7&gt;=0,E7*Вводные!$B$26,IF(Вводные!$B$28="Да",E7*Вводные!$B$26,E7))-MAX(0,IF(E7&gt;=0,E7*Вводные!$B$26,IF(Вводные!$B$28="Да",E7*Вводные!$B$26,E7)))*Вводные!$B$33-Экономика!$C$76</f>
        <v>-121154.297029703</v>
      </c>
      <c r="F18" s="49" t="n">
        <f aca="false">IF(F7&gt;=0,F7*Вводные!$B$26,IF(Вводные!$B$28="Да",F7*Вводные!$B$26,F7))-MAX(0,IF(F7&gt;=0,F7*Вводные!$B$26,IF(Вводные!$B$28="Да",F7*Вводные!$B$26,F7)))*Вводные!$B$33-Экономика!$C$76</f>
        <v>-98593.3465346535</v>
      </c>
      <c r="G18" s="49" t="n">
        <f aca="false">IF(G7&gt;=0,G7*Вводные!$B$26,IF(Вводные!$B$28="Да",G7*Вводные!$B$26,G7))-MAX(0,IF(G7&gt;=0,G7*Вводные!$B$26,IF(Вводные!$B$28="Да",G7*Вводные!$B$26,G7)))*Вводные!$B$33-Экономика!$C$76</f>
        <v>-76032.396039604</v>
      </c>
      <c r="H18" s="49" t="n">
        <f aca="false">IF(H7&gt;=0,H7*Вводные!$B$26,IF(Вводные!$B$28="Да",H7*Вводные!$B$26,H7))-MAX(0,IF(H7&gt;=0,H7*Вводные!$B$26,IF(Вводные!$B$28="Да",H7*Вводные!$B$26,H7)))*Вводные!$B$33-Экономика!$C$76</f>
        <v>-53471.4455445545</v>
      </c>
    </row>
    <row r="19" customFormat="false" ht="15" hidden="false" customHeight="false" outlineLevel="0" collapsed="false">
      <c r="A19" s="91" t="n">
        <v>0.5</v>
      </c>
      <c r="B19" s="49" t="n">
        <f aca="false">IF(B8&gt;=0,B8*Вводные!$B$26,IF(Вводные!$B$28="Да",B8*Вводные!$B$26,B8))-MAX(0,IF(B8&gt;=0,B8*Вводные!$B$26,IF(Вводные!$B$28="Да",B8*Вводные!$B$26,B8)))*Вводные!$B$33-Экономика!$C$76</f>
        <v>-171916.435643564</v>
      </c>
      <c r="C19" s="49" t="n">
        <f aca="false">IF(C8&gt;=0,C8*Вводные!$B$26,IF(Вводные!$B$28="Да",C8*Вводные!$B$26,C8))-MAX(0,IF(C8&gt;=0,C8*Вводные!$B$26,IF(Вводные!$B$28="Да",C8*Вводные!$B$26,C8)))*Вводные!$B$33-Экономика!$C$76</f>
        <v>-143715.247524752</v>
      </c>
      <c r="D19" s="49" t="n">
        <f aca="false">IF(D8&gt;=0,D8*Вводные!$B$26,IF(Вводные!$B$28="Да",D8*Вводные!$B$26,D8))-MAX(0,IF(D8&gt;=0,D8*Вводные!$B$26,IF(Вводные!$B$28="Да",D8*Вводные!$B$26,D8)))*Вводные!$B$33-Экономика!$C$76</f>
        <v>-115514.059405941</v>
      </c>
      <c r="E19" s="49" t="n">
        <f aca="false">IF(E8&gt;=0,E8*Вводные!$B$26,IF(Вводные!$B$28="Да",E8*Вводные!$B$26,E8))-MAX(0,IF(E8&gt;=0,E8*Вводные!$B$26,IF(Вводные!$B$28="Да",E8*Вводные!$B$26,E8)))*Вводные!$B$33-Экономика!$C$76</f>
        <v>-87312.8712871287</v>
      </c>
      <c r="F19" s="49" t="n">
        <f aca="false">IF(F8&gt;=0,F8*Вводные!$B$26,IF(Вводные!$B$28="Да",F8*Вводные!$B$26,F8))-MAX(0,IF(F8&gt;=0,F8*Вводные!$B$26,IF(Вводные!$B$28="Да",F8*Вводные!$B$26,F8)))*Вводные!$B$33-Экономика!$C$76</f>
        <v>-59111.6831683169</v>
      </c>
      <c r="G19" s="49" t="n">
        <f aca="false">IF(G8&gt;=0,G8*Вводные!$B$26,IF(Вводные!$B$28="Да",G8*Вводные!$B$26,G8))-MAX(0,IF(G8&gt;=0,G8*Вводные!$B$26,IF(Вводные!$B$28="Да",G8*Вводные!$B$26,G8)))*Вводные!$B$33-Экономика!$C$76</f>
        <v>-30910.495049505</v>
      </c>
      <c r="H19" s="49" t="n">
        <f aca="false">IF(H8&gt;=0,H8*Вводные!$B$26,IF(Вводные!$B$28="Да",H8*Вводные!$B$26,H8))-MAX(0,IF(H8&gt;=0,H8*Вводные!$B$26,IF(Вводные!$B$28="Да",H8*Вводные!$B$26,H8)))*Вводные!$B$33-Экономика!$C$76</f>
        <v>-2709.30693069307</v>
      </c>
    </row>
    <row r="20" customFormat="false" ht="15" hidden="false" customHeight="false" outlineLevel="0" collapsed="false">
      <c r="A20" s="91" t="n">
        <v>0.6</v>
      </c>
      <c r="B20" s="49" t="n">
        <f aca="false">IF(B9&gt;=0,B9*Вводные!$B$26,IF(Вводные!$B$28="Да",B9*Вводные!$B$26,B9))-MAX(0,IF(B9&gt;=0,B9*Вводные!$B$26,IF(Вводные!$B$28="Да",B9*Вводные!$B$26,B9)))*Вводные!$B$33-Экономика!$C$76</f>
        <v>-154995.722772277</v>
      </c>
      <c r="C20" s="49" t="n">
        <f aca="false">IF(C9&gt;=0,C9*Вводные!$B$26,IF(Вводные!$B$28="Да",C9*Вводные!$B$26,C9))-MAX(0,IF(C9&gt;=0,C9*Вводные!$B$26,IF(Вводные!$B$28="Да",C9*Вводные!$B$26,C9)))*Вводные!$B$33-Экономика!$C$76</f>
        <v>-121154.297029703</v>
      </c>
      <c r="D20" s="49" t="n">
        <f aca="false">IF(D9&gt;=0,D9*Вводные!$B$26,IF(Вводные!$B$28="Да",D9*Вводные!$B$26,D9))-MAX(0,IF(D9&gt;=0,D9*Вводные!$B$26,IF(Вводные!$B$28="Да",D9*Вводные!$B$26,D9)))*Вводные!$B$33-Экономика!$C$76</f>
        <v>-87312.8712871287</v>
      </c>
      <c r="E20" s="49" t="n">
        <f aca="false">IF(E9&gt;=0,E9*Вводные!$B$26,IF(Вводные!$B$28="Да",E9*Вводные!$B$26,E9))-MAX(0,IF(E9&gt;=0,E9*Вводные!$B$26,IF(Вводные!$B$28="Да",E9*Вводные!$B$26,E9)))*Вводные!$B$33-Экономика!$C$76</f>
        <v>-53471.4455445545</v>
      </c>
      <c r="F20" s="49" t="n">
        <f aca="false">IF(F9&gt;=0,F9*Вводные!$B$26,IF(Вводные!$B$28="Да",F9*Вводные!$B$26,F9))-MAX(0,IF(F9&gt;=0,F9*Вводные!$B$26,IF(Вводные!$B$28="Да",F9*Вводные!$B$26,F9)))*Вводные!$B$33-Экономика!$C$76</f>
        <v>-19630.0198019802</v>
      </c>
      <c r="G20" s="49" t="n">
        <f aca="false">IF(G9&gt;=0,G9*Вводные!$B$26,IF(Вводные!$B$28="Да",G9*Вводные!$B$26,G9))-MAX(0,IF(G9&gt;=0,G9*Вводные!$B$26,IF(Вводные!$B$28="Да",G9*Вводные!$B$26,G9)))*Вводные!$B$33-Экономика!$C$76</f>
        <v>14211.405940594</v>
      </c>
      <c r="H20" s="49" t="n">
        <f aca="false">IF(H9&gt;=0,H9*Вводные!$B$26,IF(Вводные!$B$28="Да",H9*Вводные!$B$26,H9))-MAX(0,IF(H9&gt;=0,H9*Вводные!$B$26,IF(Вводные!$B$28="Да",H9*Вводные!$B$26,H9)))*Вводные!$B$33-Экономика!$C$76</f>
        <v>48052.8316831683</v>
      </c>
    </row>
    <row r="21" customFormat="false" ht="15" hidden="false" customHeight="false" outlineLevel="0" collapsed="false">
      <c r="A21" s="91" t="n">
        <v>0.7</v>
      </c>
      <c r="B21" s="49" t="n">
        <f aca="false">IF(B10&gt;=0,B10*Вводные!$B$26,IF(Вводные!$B$28="Да",B10*Вводные!$B$26,B10))-MAX(0,IF(B10&gt;=0,B10*Вводные!$B$26,IF(Вводные!$B$28="Да",B10*Вводные!$B$26,B10)))*Вводные!$B$33-Экономика!$C$76</f>
        <v>-138075.00990099</v>
      </c>
      <c r="C21" s="49" t="n">
        <f aca="false">IF(C10&gt;=0,C10*Вводные!$B$26,IF(Вводные!$B$28="Да",C10*Вводные!$B$26,C10))-MAX(0,IF(C10&gt;=0,C10*Вводные!$B$26,IF(Вводные!$B$28="Да",C10*Вводные!$B$26,C10)))*Вводные!$B$33-Экономика!$C$76</f>
        <v>-98593.3465346535</v>
      </c>
      <c r="D21" s="49" t="n">
        <f aca="false">IF(D10&gt;=0,D10*Вводные!$B$26,IF(Вводные!$B$28="Да",D10*Вводные!$B$26,D10))-MAX(0,IF(D10&gt;=0,D10*Вводные!$B$26,IF(Вводные!$B$28="Да",D10*Вводные!$B$26,D10)))*Вводные!$B$33-Экономика!$C$76</f>
        <v>-59111.6831683169</v>
      </c>
      <c r="E21" s="49" t="n">
        <f aca="false">IF(E10&gt;=0,E10*Вводные!$B$26,IF(Вводные!$B$28="Да",E10*Вводные!$B$26,E10))-MAX(0,IF(E10&gt;=0,E10*Вводные!$B$26,IF(Вводные!$B$28="Да",E10*Вводные!$B$26,E10)))*Вводные!$B$33-Экономика!$C$76</f>
        <v>-19630.0198019802</v>
      </c>
      <c r="F21" s="49" t="n">
        <f aca="false">IF(F10&gt;=0,F10*Вводные!$B$26,IF(Вводные!$B$28="Да",F10*Вводные!$B$26,F10))-MAX(0,IF(F10&gt;=0,F10*Вводные!$B$26,IF(Вводные!$B$28="Да",F10*Вводные!$B$26,F10)))*Вводные!$B$33-Экономика!$C$76</f>
        <v>19851.6435643564</v>
      </c>
      <c r="G21" s="49" t="n">
        <f aca="false">IF(G10&gt;=0,G10*Вводные!$B$26,IF(Вводные!$B$28="Да",G10*Вводные!$B$26,G10))-MAX(0,IF(G10&gt;=0,G10*Вводные!$B$26,IF(Вводные!$B$28="Да",G10*Вводные!$B$26,G10)))*Вводные!$B$33-Экономика!$C$76</f>
        <v>59333.306930693</v>
      </c>
      <c r="H21" s="49" t="n">
        <f aca="false">IF(H10&gt;=0,H10*Вводные!$B$26,IF(Вводные!$B$28="Да",H10*Вводные!$B$26,H10))-MAX(0,IF(H10&gt;=0,H10*Вводные!$B$26,IF(Вводные!$B$28="Да",H10*Вводные!$B$26,H10)))*Вводные!$B$33-Экономика!$C$76</f>
        <v>98814.9702970297</v>
      </c>
    </row>
    <row r="22" customFormat="false" ht="15" hidden="false" customHeight="false" outlineLevel="0" collapsed="false">
      <c r="A22" s="91" t="n">
        <v>0.8</v>
      </c>
      <c r="B22" s="49" t="n">
        <f aca="false">IF(B11&gt;=0,B11*Вводные!$B$26,IF(Вводные!$B$28="Да",B11*Вводные!$B$26,B11))-MAX(0,IF(B11&gt;=0,B11*Вводные!$B$26,IF(Вводные!$B$28="Да",B11*Вводные!$B$26,B11)))*Вводные!$B$33-Экономика!$C$76</f>
        <v>-121154.297029703</v>
      </c>
      <c r="C22" s="49" t="n">
        <f aca="false">IF(C11&gt;=0,C11*Вводные!$B$26,IF(Вводные!$B$28="Да",C11*Вводные!$B$26,C11))-MAX(0,IF(C11&gt;=0,C11*Вводные!$B$26,IF(Вводные!$B$28="Да",C11*Вводные!$B$26,C11)))*Вводные!$B$33-Экономика!$C$76</f>
        <v>-76032.396039604</v>
      </c>
      <c r="D22" s="49" t="n">
        <f aca="false">IF(D11&gt;=0,D11*Вводные!$B$26,IF(Вводные!$B$28="Да",D11*Вводные!$B$26,D11))-MAX(0,IF(D11&gt;=0,D11*Вводные!$B$26,IF(Вводные!$B$28="Да",D11*Вводные!$B$26,D11)))*Вводные!$B$33-Экономика!$C$76</f>
        <v>-30910.495049505</v>
      </c>
      <c r="E22" s="49" t="n">
        <f aca="false">IF(E11&gt;=0,E11*Вводные!$B$26,IF(Вводные!$B$28="Да",E11*Вводные!$B$26,E11))-MAX(0,IF(E11&gt;=0,E11*Вводные!$B$26,IF(Вводные!$B$28="Да",E11*Вводные!$B$26,E11)))*Вводные!$B$33-Экономика!$C$76</f>
        <v>14211.405940594</v>
      </c>
      <c r="F22" s="49" t="n">
        <f aca="false">IF(F11&gt;=0,F11*Вводные!$B$26,IF(Вводные!$B$28="Да",F11*Вводные!$B$26,F11))-MAX(0,IF(F11&gt;=0,F11*Вводные!$B$26,IF(Вводные!$B$28="Да",F11*Вводные!$B$26,F11)))*Вводные!$B$33-Экономика!$C$76</f>
        <v>59333.306930693</v>
      </c>
      <c r="G22" s="49" t="n">
        <f aca="false">IF(G11&gt;=0,G11*Вводные!$B$26,IF(Вводные!$B$28="Да",G11*Вводные!$B$26,G11))-MAX(0,IF(G11&gt;=0,G11*Вводные!$B$26,IF(Вводные!$B$28="Да",G11*Вводные!$B$26,G11)))*Вводные!$B$33-Экономика!$C$76</f>
        <v>104455.207920792</v>
      </c>
      <c r="H22" s="49" t="n">
        <f aca="false">IF(H11&gt;=0,H11*Вводные!$B$26,IF(Вводные!$B$28="Да",H11*Вводные!$B$26,H11))-MAX(0,IF(H11&gt;=0,H11*Вводные!$B$26,IF(Вводные!$B$28="Да",H11*Вводные!$B$26,H11)))*Вводные!$B$33-Экономика!$C$76</f>
        <v>149577.108910891</v>
      </c>
    </row>
    <row r="23" customFormat="false" ht="15" hidden="false" customHeight="false" outlineLevel="0" collapsed="false">
      <c r="A23" s="91" t="n">
        <v>0.9</v>
      </c>
      <c r="B23" s="49" t="n">
        <f aca="false">IF(B12&gt;=0,B12*Вводные!$B$26,IF(Вводные!$B$28="Да",B12*Вводные!$B$26,B12))-MAX(0,IF(B12&gt;=0,B12*Вводные!$B$26,IF(Вводные!$B$28="Да",B12*Вводные!$B$26,B12)))*Вводные!$B$33-Экономика!$C$76</f>
        <v>-104233.584158416</v>
      </c>
      <c r="C23" s="49" t="n">
        <f aca="false">IF(C12&gt;=0,C12*Вводные!$B$26,IF(Вводные!$B$28="Да",C12*Вводные!$B$26,C12))-MAX(0,IF(C12&gt;=0,C12*Вводные!$B$26,IF(Вводные!$B$28="Да",C12*Вводные!$B$26,C12)))*Вводные!$B$33-Экономика!$C$76</f>
        <v>-53471.4455445544</v>
      </c>
      <c r="D23" s="49" t="n">
        <f aca="false">IF(D12&gt;=0,D12*Вводные!$B$26,IF(Вводные!$B$28="Да",D12*Вводные!$B$26,D12))-MAX(0,IF(D12&gt;=0,D12*Вводные!$B$26,IF(Вводные!$B$28="Да",D12*Вводные!$B$26,D12)))*Вводные!$B$33-Экономика!$C$76</f>
        <v>-2709.30693069307</v>
      </c>
      <c r="E23" s="49" t="n">
        <f aca="false">IF(E12&gt;=0,E12*Вводные!$B$26,IF(Вводные!$B$28="Да",E12*Вводные!$B$26,E12))-MAX(0,IF(E12&gt;=0,E12*Вводные!$B$26,IF(Вводные!$B$28="Да",E12*Вводные!$B$26,E12)))*Вводные!$B$33-Экономика!$C$76</f>
        <v>48052.8316831683</v>
      </c>
      <c r="F23" s="49" t="n">
        <f aca="false">IF(F12&gt;=0,F12*Вводные!$B$26,IF(Вводные!$B$28="Да",F12*Вводные!$B$26,F12))-MAX(0,IF(F12&gt;=0,F12*Вводные!$B$26,IF(Вводные!$B$28="Да",F12*Вводные!$B$26,F12)))*Вводные!$B$33-Экономика!$C$76</f>
        <v>98814.9702970297</v>
      </c>
      <c r="G23" s="49" t="n">
        <f aca="false">IF(G12&gt;=0,G12*Вводные!$B$26,IF(Вводные!$B$28="Да",G12*Вводные!$B$26,G12))-MAX(0,IF(G12&gt;=0,G12*Вводные!$B$26,IF(Вводные!$B$28="Да",G12*Вводные!$B$26,G12)))*Вводные!$B$33-Экономика!$C$76</f>
        <v>149577.108910891</v>
      </c>
      <c r="H23" s="49" t="n">
        <f aca="false">IF(H12&gt;=0,H12*Вводные!$B$26,IF(Вводные!$B$28="Да",H12*Вводные!$B$26,H12))-MAX(0,IF(H12&gt;=0,H12*Вводные!$B$26,IF(Вводные!$B$28="Да",H12*Вводные!$B$26,H12)))*Вводные!$B$33-Экономика!$C$76</f>
        <v>200339.247524753</v>
      </c>
    </row>
    <row r="24" customFormat="false" ht="15" hidden="false" customHeight="false" outlineLevel="0" collapsed="false">
      <c r="A24" s="91" t="n">
        <v>1</v>
      </c>
      <c r="B24" s="49" t="n">
        <f aca="false">IF(B13&gt;=0,B13*Вводные!$B$26,IF(Вводные!$B$28="Да",B13*Вводные!$B$26,B13))-MAX(0,IF(B13&gt;=0,B13*Вводные!$B$26,IF(Вводные!$B$28="Да",B13*Вводные!$B$26,B13)))*Вводные!$B$33-Экономика!$C$76</f>
        <v>-87312.8712871287</v>
      </c>
      <c r="C24" s="49" t="n">
        <f aca="false">IF(C13&gt;=0,C13*Вводные!$B$26,IF(Вводные!$B$28="Да",C13*Вводные!$B$26,C13))-MAX(0,IF(C13&gt;=0,C13*Вводные!$B$26,IF(Вводные!$B$28="Да",C13*Вводные!$B$26,C13)))*Вводные!$B$33-Экономика!$C$76</f>
        <v>-30910.495049505</v>
      </c>
      <c r="D24" s="49" t="n">
        <f aca="false">IF(D13&gt;=0,D13*Вводные!$B$26,IF(Вводные!$B$28="Да",D13*Вводные!$B$26,D13))-MAX(0,IF(D13&gt;=0,D13*Вводные!$B$26,IF(Вводные!$B$28="Да",D13*Вводные!$B$26,D13)))*Вводные!$B$33-Экономика!$C$76</f>
        <v>25491.8811881188</v>
      </c>
      <c r="E24" s="49" t="n">
        <f aca="false">IF(E13&gt;=0,E13*Вводные!$B$26,IF(Вводные!$B$28="Да",E13*Вводные!$B$26,E13))-MAX(0,IF(E13&gt;=0,E13*Вводные!$B$26,IF(Вводные!$B$28="Да",E13*Вводные!$B$26,E13)))*Вводные!$B$33-Экономика!$C$76</f>
        <v>81894.2574257425</v>
      </c>
      <c r="F24" s="49" t="n">
        <f aca="false">IF(F13&gt;=0,F13*Вводные!$B$26,IF(Вводные!$B$28="Да",F13*Вводные!$B$26,F13))-MAX(0,IF(F13&gt;=0,F13*Вводные!$B$26,IF(Вводные!$B$28="Да",F13*Вводные!$B$26,F13)))*Вводные!$B$33-Экономика!$C$76</f>
        <v>138296.633663366</v>
      </c>
      <c r="G24" s="49" t="n">
        <f aca="false">IF(G13&gt;=0,G13*Вводные!$B$26,IF(Вводные!$B$28="Да",G13*Вводные!$B$26,G13))-MAX(0,IF(G13&gt;=0,G13*Вводные!$B$26,IF(Вводные!$B$28="Да",G13*Вводные!$B$26,G13)))*Вводные!$B$33-Экономика!$C$76</f>
        <v>194699.00990099</v>
      </c>
      <c r="H24" s="49" t="n">
        <f aca="false">IF(H13&gt;=0,H13*Вводные!$B$26,IF(Вводные!$B$28="Да",H13*Вводные!$B$26,H13))-MAX(0,IF(H13&gt;=0,H13*Вводные!$B$26,IF(Вводные!$B$28="Да",H13*Вводные!$B$26,H13)))*Вводные!$B$33-Экономика!$C$76</f>
        <v>251101.386138614</v>
      </c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</row>
    <row r="27" customFormat="false" ht="15" hidden="false" customHeight="false" outlineLevel="0" collapsed="false">
      <c r="A27" s="89" t="s">
        <v>307</v>
      </c>
      <c r="B27" s="4"/>
      <c r="C27" s="4"/>
      <c r="D27" s="4"/>
      <c r="E27" s="4"/>
      <c r="F27" s="4"/>
      <c r="G27" s="4"/>
      <c r="H27" s="4"/>
    </row>
    <row r="28" customFormat="false" ht="15" hidden="false" customHeight="false" outlineLevel="0" collapsed="false">
      <c r="A28" s="92" t="s">
        <v>308</v>
      </c>
      <c r="B28" s="90" t="n">
        <v>1500</v>
      </c>
      <c r="C28" s="90" t="n">
        <v>2000</v>
      </c>
      <c r="D28" s="90" t="n">
        <v>2500</v>
      </c>
      <c r="E28" s="90" t="n">
        <v>3000</v>
      </c>
      <c r="F28" s="90" t="n">
        <v>3500</v>
      </c>
      <c r="G28" s="90" t="n">
        <v>4000</v>
      </c>
      <c r="H28" s="90" t="n">
        <v>4500</v>
      </c>
    </row>
    <row r="29" customFormat="false" ht="15" hidden="false" customHeight="false" outlineLevel="0" collapsed="false">
      <c r="A29" s="7" t="s">
        <v>309</v>
      </c>
      <c r="B29" s="93" t="n">
        <f aca="false">IFERROR(ROUNDUP(Экономика!$C$77/B$28,0),"н/д")</f>
        <v>433</v>
      </c>
      <c r="C29" s="93" t="n">
        <f aca="false">IFERROR(ROUNDUP(Экономика!$C$77/C$28,0),"н/д")</f>
        <v>325</v>
      </c>
      <c r="D29" s="93" t="n">
        <f aca="false">IFERROR(ROUNDUP(Экономика!$C$77/D$28,0),"н/д")</f>
        <v>260</v>
      </c>
      <c r="E29" s="93" t="n">
        <f aca="false">IFERROR(ROUNDUP(Экономика!$C$77/E$28,0),"н/д")</f>
        <v>217</v>
      </c>
      <c r="F29" s="93" t="n">
        <f aca="false">IFERROR(ROUNDUP(Экономика!$C$77/F$28,0),"н/д")</f>
        <v>186</v>
      </c>
      <c r="G29" s="93" t="n">
        <f aca="false">IFERROR(ROUNDUP(Экономика!$C$77/G$28,0),"н/д")</f>
        <v>163</v>
      </c>
      <c r="H29" s="93" t="n">
        <f aca="false">IFERROR(ROUNDUP(Экономика!$C$77/H$28,0),"н/д")</f>
        <v>145</v>
      </c>
    </row>
    <row r="30" customFormat="false" ht="15" hidden="false" customHeight="false" outlineLevel="0" collapsed="false">
      <c r="A30" s="6" t="s">
        <v>310</v>
      </c>
      <c r="B30" s="94" t="n">
        <f aca="false">IFERROR(B29/Билеты!$B$22/Вводные!$B$12,"н/д")</f>
        <v>1.51850694444444</v>
      </c>
      <c r="C30" s="94" t="n">
        <f aca="false">IFERROR(C29/Билеты!$B$22/Вводные!$B$12,"н/д")</f>
        <v>1.13975694444444</v>
      </c>
      <c r="D30" s="94" t="n">
        <f aca="false">IFERROR(D29/Билеты!$B$22/Вводные!$B$12,"н/д")</f>
        <v>0.911805555555556</v>
      </c>
      <c r="E30" s="94" t="n">
        <f aca="false">IFERROR(E29/Билеты!$B$22/Вводные!$B$12,"н/д")</f>
        <v>0.761006944444445</v>
      </c>
      <c r="F30" s="94" t="n">
        <f aca="false">IFERROR(F29/Билеты!$B$22/Вводные!$B$12,"н/д")</f>
        <v>0.652291666666667</v>
      </c>
      <c r="G30" s="94" t="n">
        <f aca="false">IFERROR(G29/Билеты!$B$22/Вводные!$B$12,"н/д")</f>
        <v>0.571631944444444</v>
      </c>
      <c r="H30" s="94" t="n">
        <f aca="false">IFERROR(H29/Билеты!$B$22/Вводные!$B$12,"н/д")</f>
        <v>0.508506944444444</v>
      </c>
    </row>
  </sheetData>
  <conditionalFormatting sqref="B6:H13">
    <cfRule type="colorScale" priority="2">
      <colorScale>
        <cfvo type="num" val="-300000"/>
        <cfvo type="num" val="0"/>
        <cfvo type="num" val="500000"/>
        <color rgb="FFF8696B"/>
        <color rgb="FFFFEB84"/>
        <color rgb="FF63BE7B"/>
      </colorScale>
    </cfRule>
  </conditionalFormatting>
  <conditionalFormatting sqref="B17:H24">
    <cfRule type="colorScale" priority="3">
      <colorScale>
        <cfvo type="num" val="-300000"/>
        <cfvo type="num" val="0"/>
        <cfvo type="num" val="500000"/>
        <color rgb="FFF8696B"/>
        <color rgb="FFFFEB84"/>
        <color rgb="FF63BE7B"/>
      </colorScale>
    </cfRule>
  </conditionalFormatting>
  <conditionalFormatting sqref="B30:H30">
    <cfRule type="cellIs" priority="4" operator="greaterThan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54"/>
    <col collapsed="false" customWidth="true" hidden="false" outlineLevel="0" max="4" min="4" style="0" width="32"/>
    <col collapsed="false" customWidth="true" hidden="false" outlineLevel="0" max="5" min="5" style="0" width="22"/>
    <col collapsed="false" customWidth="true" hidden="false" outlineLevel="0" max="6" min="6" style="0" width="50"/>
  </cols>
  <sheetData>
    <row r="1" customFormat="false" ht="30" hidden="false" customHeight="true" outlineLevel="0" collapsed="false">
      <c r="A1" s="1" t="s">
        <v>311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312</v>
      </c>
      <c r="B2" s="4"/>
      <c r="C2" s="4"/>
      <c r="D2" s="4"/>
      <c r="E2" s="4"/>
      <c r="F2" s="4"/>
      <c r="G2" s="4"/>
      <c r="H2" s="4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</row>
    <row r="4" customFormat="false" ht="30" hidden="false" customHeight="true" outlineLevel="0" collapsed="false">
      <c r="A4" s="32" t="s">
        <v>313</v>
      </c>
      <c r="B4" s="32" t="s">
        <v>314</v>
      </c>
      <c r="C4" s="32" t="s">
        <v>315</v>
      </c>
      <c r="D4" s="32" t="s">
        <v>316</v>
      </c>
      <c r="E4" s="32" t="s">
        <v>317</v>
      </c>
      <c r="F4" s="32" t="s">
        <v>318</v>
      </c>
      <c r="G4" s="4"/>
      <c r="H4" s="4"/>
    </row>
    <row r="5" customFormat="false" ht="49.5" hidden="false" customHeight="true" outlineLevel="0" collapsed="false">
      <c r="A5" s="95" t="n">
        <v>1</v>
      </c>
      <c r="B5" s="96" t="s">
        <v>319</v>
      </c>
      <c r="C5" s="97" t="s">
        <v>320</v>
      </c>
      <c r="D5" s="98" t="s">
        <v>321</v>
      </c>
      <c r="E5" s="99" t="s">
        <v>322</v>
      </c>
      <c r="F5" s="100" t="s">
        <v>323</v>
      </c>
      <c r="G5" s="4"/>
      <c r="H5" s="4"/>
    </row>
    <row r="6" customFormat="false" ht="49.5" hidden="false" customHeight="true" outlineLevel="0" collapsed="false">
      <c r="A6" s="95" t="n">
        <v>2</v>
      </c>
      <c r="B6" s="96" t="s">
        <v>319</v>
      </c>
      <c r="C6" s="97" t="s">
        <v>324</v>
      </c>
      <c r="D6" s="98" t="s">
        <v>325</v>
      </c>
      <c r="E6" s="99" t="s">
        <v>326</v>
      </c>
      <c r="F6" s="100" t="s">
        <v>327</v>
      </c>
      <c r="G6" s="4"/>
      <c r="H6" s="4"/>
    </row>
    <row r="7" customFormat="false" ht="49.5" hidden="false" customHeight="true" outlineLevel="0" collapsed="false">
      <c r="A7" s="95" t="n">
        <v>3</v>
      </c>
      <c r="B7" s="96" t="s">
        <v>319</v>
      </c>
      <c r="C7" s="97" t="s">
        <v>328</v>
      </c>
      <c r="D7" s="98" t="s">
        <v>329</v>
      </c>
      <c r="E7" s="99" t="s">
        <v>330</v>
      </c>
      <c r="F7" s="100" t="s">
        <v>331</v>
      </c>
      <c r="G7" s="4"/>
      <c r="H7" s="4"/>
    </row>
    <row r="8" customFormat="false" ht="49.5" hidden="false" customHeight="true" outlineLevel="0" collapsed="false">
      <c r="A8" s="101" t="n">
        <v>4</v>
      </c>
      <c r="B8" s="102" t="s">
        <v>332</v>
      </c>
      <c r="C8" s="103" t="s">
        <v>333</v>
      </c>
      <c r="D8" s="104" t="s">
        <v>334</v>
      </c>
      <c r="E8" s="105" t="s">
        <v>335</v>
      </c>
      <c r="F8" s="106" t="s">
        <v>336</v>
      </c>
      <c r="G8" s="4"/>
      <c r="H8" s="4"/>
    </row>
    <row r="9" customFormat="false" ht="49.5" hidden="false" customHeight="true" outlineLevel="0" collapsed="false">
      <c r="A9" s="107" t="n">
        <v>5</v>
      </c>
      <c r="B9" s="108" t="s">
        <v>337</v>
      </c>
      <c r="C9" s="109" t="s">
        <v>338</v>
      </c>
      <c r="D9" s="110" t="s">
        <v>339</v>
      </c>
      <c r="E9" s="111" t="s">
        <v>340</v>
      </c>
      <c r="F9" s="112" t="s">
        <v>341</v>
      </c>
      <c r="G9" s="4"/>
      <c r="H9" s="4"/>
    </row>
    <row r="10" customFormat="false" ht="49.5" hidden="false" customHeight="true" outlineLevel="0" collapsed="false">
      <c r="A10" s="101" t="n">
        <v>6</v>
      </c>
      <c r="B10" s="102" t="s">
        <v>342</v>
      </c>
      <c r="C10" s="103" t="s">
        <v>343</v>
      </c>
      <c r="D10" s="104" t="s">
        <v>344</v>
      </c>
      <c r="E10" s="105" t="s">
        <v>345</v>
      </c>
      <c r="F10" s="106" t="s">
        <v>346</v>
      </c>
      <c r="G10" s="4"/>
      <c r="H10" s="4"/>
    </row>
    <row r="11" customFormat="false" ht="49.5" hidden="false" customHeight="true" outlineLevel="0" collapsed="false">
      <c r="A11" s="107" t="n">
        <v>7</v>
      </c>
      <c r="B11" s="108" t="s">
        <v>342</v>
      </c>
      <c r="C11" s="109" t="s">
        <v>347</v>
      </c>
      <c r="D11" s="110" t="s">
        <v>344</v>
      </c>
      <c r="E11" s="111" t="s">
        <v>348</v>
      </c>
      <c r="F11" s="112" t="s">
        <v>349</v>
      </c>
      <c r="G11" s="4"/>
      <c r="H11" s="4"/>
    </row>
    <row r="12" customFormat="false" ht="49.5" hidden="false" customHeight="true" outlineLevel="0" collapsed="false">
      <c r="A12" s="101" t="n">
        <v>8</v>
      </c>
      <c r="B12" s="102" t="s">
        <v>350</v>
      </c>
      <c r="C12" s="103" t="s">
        <v>351</v>
      </c>
      <c r="D12" s="104" t="s">
        <v>352</v>
      </c>
      <c r="E12" s="105" t="s">
        <v>353</v>
      </c>
      <c r="F12" s="106" t="s">
        <v>354</v>
      </c>
      <c r="G12" s="4"/>
      <c r="H12" s="4"/>
    </row>
    <row r="13" customFormat="false" ht="49.5" hidden="false" customHeight="true" outlineLevel="0" collapsed="false">
      <c r="A13" s="107" t="n">
        <v>9</v>
      </c>
      <c r="B13" s="108" t="s">
        <v>350</v>
      </c>
      <c r="C13" s="109" t="s">
        <v>355</v>
      </c>
      <c r="D13" s="110" t="s">
        <v>356</v>
      </c>
      <c r="E13" s="111" t="s">
        <v>357</v>
      </c>
      <c r="F13" s="112" t="s">
        <v>358</v>
      </c>
      <c r="G13" s="4"/>
      <c r="H13" s="4"/>
    </row>
    <row r="14" customFormat="false" ht="49.5" hidden="false" customHeight="true" outlineLevel="0" collapsed="false">
      <c r="A14" s="101" t="n">
        <v>10</v>
      </c>
      <c r="B14" s="102" t="s">
        <v>359</v>
      </c>
      <c r="C14" s="103" t="s">
        <v>360</v>
      </c>
      <c r="D14" s="104" t="s">
        <v>361</v>
      </c>
      <c r="E14" s="105" t="s">
        <v>362</v>
      </c>
      <c r="F14" s="106" t="s">
        <v>363</v>
      </c>
      <c r="G14" s="4"/>
      <c r="H14" s="4"/>
    </row>
    <row r="15" customFormat="false" ht="49.5" hidden="false" customHeight="true" outlineLevel="0" collapsed="false">
      <c r="A15" s="107" t="n">
        <v>11</v>
      </c>
      <c r="B15" s="108" t="s">
        <v>359</v>
      </c>
      <c r="C15" s="109" t="s">
        <v>364</v>
      </c>
      <c r="D15" s="110" t="s">
        <v>365</v>
      </c>
      <c r="E15" s="111" t="s">
        <v>366</v>
      </c>
      <c r="F15" s="112" t="s">
        <v>367</v>
      </c>
      <c r="G15" s="4"/>
      <c r="H15" s="4"/>
    </row>
    <row r="16" customFormat="false" ht="49.5" hidden="false" customHeight="true" outlineLevel="0" collapsed="false">
      <c r="A16" s="101" t="n">
        <v>12</v>
      </c>
      <c r="B16" s="102" t="s">
        <v>368</v>
      </c>
      <c r="C16" s="103" t="s">
        <v>369</v>
      </c>
      <c r="D16" s="104" t="s">
        <v>370</v>
      </c>
      <c r="E16" s="105" t="s">
        <v>371</v>
      </c>
      <c r="F16" s="106" t="s">
        <v>372</v>
      </c>
      <c r="G16" s="4"/>
      <c r="H16" s="4"/>
    </row>
    <row r="17" customFormat="false" ht="49.5" hidden="false" customHeight="true" outlineLevel="0" collapsed="false">
      <c r="A17" s="107" t="n">
        <v>13</v>
      </c>
      <c r="B17" s="108" t="s">
        <v>368</v>
      </c>
      <c r="C17" s="109" t="s">
        <v>373</v>
      </c>
      <c r="D17" s="110" t="s">
        <v>374</v>
      </c>
      <c r="E17" s="111" t="s">
        <v>375</v>
      </c>
      <c r="F17" s="112" t="s">
        <v>376</v>
      </c>
      <c r="G17" s="4"/>
      <c r="H17" s="4"/>
    </row>
    <row r="18" customFormat="false" ht="49.5" hidden="false" customHeight="true" outlineLevel="0" collapsed="false">
      <c r="A18" s="101" t="n">
        <v>14</v>
      </c>
      <c r="B18" s="102" t="s">
        <v>377</v>
      </c>
      <c r="C18" s="103" t="s">
        <v>378</v>
      </c>
      <c r="D18" s="104" t="s">
        <v>379</v>
      </c>
      <c r="E18" s="105" t="s">
        <v>380</v>
      </c>
      <c r="F18" s="106" t="s">
        <v>381</v>
      </c>
      <c r="G18" s="4"/>
      <c r="H18" s="4"/>
    </row>
    <row r="19" customFormat="false" ht="49.5" hidden="false" customHeight="true" outlineLevel="0" collapsed="false">
      <c r="A19" s="107" t="n">
        <v>15</v>
      </c>
      <c r="B19" s="108" t="s">
        <v>382</v>
      </c>
      <c r="C19" s="109" t="s">
        <v>383</v>
      </c>
      <c r="D19" s="110" t="s">
        <v>384</v>
      </c>
      <c r="E19" s="111" t="s">
        <v>385</v>
      </c>
      <c r="F19" s="112" t="s">
        <v>386</v>
      </c>
      <c r="G19" s="4"/>
      <c r="H19" s="4"/>
    </row>
    <row r="20" customFormat="false" ht="49.5" hidden="false" customHeight="true" outlineLevel="0" collapsed="false">
      <c r="A20" s="101" t="n">
        <v>16</v>
      </c>
      <c r="B20" s="102" t="s">
        <v>382</v>
      </c>
      <c r="C20" s="103" t="s">
        <v>387</v>
      </c>
      <c r="D20" s="104" t="s">
        <v>388</v>
      </c>
      <c r="E20" s="105" t="s">
        <v>389</v>
      </c>
      <c r="F20" s="106" t="s">
        <v>390</v>
      </c>
      <c r="G20" s="4"/>
      <c r="H20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2026-09-05T16:30:51Z</dcterms:created>
  <dc:creator>openpyxl</dc:creator>
  <dc:description/>
  <dc:language>en-US</dc:language>
  <cp:lastModifiedBy/>
  <dcterms:modified xsi:type="dcterms:W3CDTF">2026-09-05T16:30:51Z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