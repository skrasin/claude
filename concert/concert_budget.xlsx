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шборд" sheetId="1" state="visible" r:id="rId1"/>
    <sheet name="Вводные" sheetId="2" state="visible" r:id="rId2"/>
    <sheet name="Билеты" sheetId="3" state="visible" r:id="rId3"/>
    <sheet name="Маркетинг" sheetId="4" state="visible" r:id="rId4"/>
    <sheet name="Расходы" sheetId="5" state="visible" r:id="rId5"/>
    <sheet name="Экономика" sheetId="6" state="visible" r:id="rId6"/>
    <sheet name="Сценарии" sheetId="7" state="visible" r:id="rId7"/>
    <sheet name="Чувствительность" sheetId="8" state="visible" r:id="rId8"/>
    <sheet name="Варианты" sheetId="9" state="visible" r:id="rId9"/>
  </sheets>
  <definedNames/>
  <calcPr calcId="124519" fullCalcOnLoad="1"/>
</workbook>
</file>

<file path=xl/styles.xml><?xml version="1.0" encoding="utf-8"?>
<styleSheet xmlns="http://schemas.openxmlformats.org/spreadsheetml/2006/main">
  <numFmts count="3">
    <numFmt numFmtId="164" formatCode="#,##0;[Red](#,##0);&quot;—&quot;"/>
    <numFmt numFmtId="165" formatCode="0.0%"/>
    <numFmt numFmtId="166" formatCode="#,##0&quot; ₽&quot;;[Red](#,##0&quot; ₽&quot;);&quot;—&quot;"/>
  </numFmts>
  <fonts count="27">
    <font>
      <name val="Calibri"/>
      <family val="2"/>
      <color theme="1"/>
      <sz val="11"/>
      <scheme val="minor"/>
    </font>
    <font>
      <name val="Arial"/>
      <b val="1"/>
      <color rgb="00FFFFFF"/>
      <sz val="15"/>
    </font>
    <font>
      <name val="Arial"/>
      <i val="1"/>
      <color rgb="00808080"/>
      <sz val="9"/>
    </font>
    <font>
      <name val="Arial"/>
      <b val="1"/>
      <color rgb="001F3864"/>
      <sz val="11"/>
    </font>
    <font>
      <name val="Arial"/>
      <sz val="10"/>
    </font>
    <font>
      <name val="Arial"/>
      <color rgb="000000FF"/>
      <sz val="10"/>
    </font>
    <font>
      <name val="Arial"/>
      <b val="1"/>
      <color rgb="001F3864"/>
      <sz val="10"/>
    </font>
    <font>
      <name val="Arial"/>
      <color rgb="00000000"/>
      <sz val="10"/>
    </font>
    <font>
      <name val="Arial"/>
      <b val="1"/>
      <sz val="10"/>
    </font>
    <font>
      <name val="Arial"/>
      <b val="1"/>
      <color rgb="00FFFFFF"/>
      <sz val="9"/>
    </font>
    <font>
      <name val="Arial"/>
      <color rgb="00008000"/>
      <sz val="10"/>
    </font>
    <font>
      <name val="Arial"/>
      <b val="1"/>
      <color rgb="00000000"/>
      <sz val="10"/>
    </font>
    <font>
      <name val="Arial"/>
      <b val="1"/>
      <sz val="11"/>
    </font>
    <font>
      <name val="Arial"/>
      <color rgb="00808080"/>
      <sz val="9"/>
    </font>
    <font>
      <name val="Arial"/>
      <b val="1"/>
      <color rgb="00008000"/>
      <sz val="10"/>
    </font>
    <font>
      <name val="Arial"/>
      <color rgb="00808080"/>
      <sz val="10"/>
    </font>
    <font>
      <name val="Arial"/>
      <b val="1"/>
      <sz val="12"/>
    </font>
    <font>
      <name val="Arial"/>
      <b val="1"/>
      <color rgb="00808080"/>
      <sz val="9"/>
    </font>
    <font>
      <name val="Arial"/>
      <b val="1"/>
      <color rgb="00000000"/>
      <sz val="11"/>
    </font>
    <font>
      <name val="Arial"/>
      <b val="1"/>
      <sz val="13"/>
    </font>
    <font>
      <name val="Arial"/>
      <b val="1"/>
      <color rgb="00000000"/>
      <sz val="13"/>
    </font>
    <font>
      <name val="Arial"/>
      <b val="1"/>
      <color rgb="00FFFFFF"/>
      <sz val="10"/>
    </font>
    <font>
      <name val="Arial"/>
      <b val="1"/>
      <color rgb="0044546A"/>
      <sz val="9"/>
    </font>
    <font>
      <name val="Arial"/>
      <b val="1"/>
      <color rgb="001F3864"/>
      <sz val="14"/>
    </font>
    <font>
      <name val="Arial"/>
      <sz val="9"/>
    </font>
    <font>
      <name val="Arial"/>
      <color rgb="00008000"/>
      <sz val="9"/>
    </font>
    <font>
      <name val="Arial"/>
      <color theme="1"/>
      <sz val="11"/>
    </font>
  </fonts>
  <fills count="9">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E2EFDA"/>
      </patternFill>
    </fill>
    <fill>
      <patternFill patternType="solid">
        <fgColor rgb="004472C4"/>
      </patternFill>
    </fill>
    <fill>
      <patternFill patternType="solid">
        <fgColor rgb="00FCE4D6"/>
      </patternFill>
    </fill>
    <fill>
      <patternFill patternType="solid">
        <fgColor rgb="00F7F9FC"/>
      </patternFill>
    </fill>
  </fills>
  <borders count="5">
    <border>
      <left/>
      <right/>
      <top/>
      <bottom/>
      <diagonal/>
    </border>
    <border>
      <bottom style="thin">
        <color rgb="001F3864"/>
      </bottom>
    </border>
    <border>
      <left style="thin">
        <color rgb="00BFBFBF"/>
      </left>
      <right style="thin">
        <color rgb="00BFBFBF"/>
      </right>
      <top style="thin">
        <color rgb="00BFBFBF"/>
      </top>
      <bottom style="thin">
        <color rgb="00BFBFBF"/>
      </bottom>
    </border>
    <border>
      <top style="medium">
        <color rgb="001F3864"/>
      </top>
      <bottom style="medium">
        <color rgb="001F3864"/>
      </bottom>
    </border>
    <border>
      <left style="medium">
        <color rgb="001F3864"/>
      </left>
      <right style="medium">
        <color rgb="001F3864"/>
      </right>
      <top style="thin">
        <color rgb="00BFBFBF"/>
      </top>
      <bottom style="thin">
        <color rgb="00BFBFBF"/>
      </bottom>
    </border>
  </borders>
  <cellStyleXfs count="1">
    <xf numFmtId="0" fontId="0" fillId="0" borderId="0"/>
  </cellStyleXfs>
  <cellXfs count="103">
    <xf numFmtId="0" fontId="0" fillId="0" borderId="0" pivotButton="0" quotePrefix="0" xfId="0"/>
    <xf numFmtId="0" fontId="1" fillId="2" borderId="0" applyAlignment="1" pivotButton="0" quotePrefix="0" xfId="0">
      <alignment vertical="center"/>
    </xf>
    <xf numFmtId="0" fontId="26" fillId="2" borderId="0" pivotButton="0" quotePrefix="0" xfId="0"/>
    <xf numFmtId="0" fontId="2" fillId="0" borderId="0" pivotButton="0" quotePrefix="0" xfId="0"/>
    <xf numFmtId="0" fontId="26" fillId="0" borderId="0" pivotButton="0" quotePrefix="0" xfId="0"/>
    <xf numFmtId="0" fontId="6" fillId="0" borderId="0" pivotButton="0" quotePrefix="0" xfId="0"/>
    <xf numFmtId="0" fontId="8" fillId="0" borderId="0" pivotButton="0" quotePrefix="0" xfId="0"/>
    <xf numFmtId="0" fontId="4" fillId="0" borderId="0" pivotButton="0" quotePrefix="0" xfId="0"/>
    <xf numFmtId="0" fontId="3" fillId="3" borderId="1" pivotButton="0" quotePrefix="0" xfId="0"/>
    <xf numFmtId="0" fontId="26" fillId="3" borderId="1" pivotButton="0" quotePrefix="0" xfId="0"/>
    <xf numFmtId="0" fontId="22" fillId="8" borderId="2" applyAlignment="1" pivotButton="0" quotePrefix="0" xfId="0">
      <alignment vertical="center"/>
    </xf>
    <xf numFmtId="166" fontId="3" fillId="8" borderId="2" applyAlignment="1" pivotButton="0" quotePrefix="0" xfId="0">
      <alignment horizontal="right" vertical="center"/>
    </xf>
    <xf numFmtId="164" fontId="3" fillId="8" borderId="2" applyAlignment="1" pivotButton="0" quotePrefix="0" xfId="0">
      <alignment horizontal="right" vertical="center"/>
    </xf>
    <xf numFmtId="0" fontId="22" fillId="7" borderId="2" applyAlignment="1" pivotButton="0" quotePrefix="0" xfId="0">
      <alignment vertical="center"/>
    </xf>
    <xf numFmtId="166" fontId="23" fillId="7" borderId="2" applyAlignment="1" pivotButton="0" quotePrefix="0" xfId="0">
      <alignment horizontal="right" vertical="center"/>
    </xf>
    <xf numFmtId="165" fontId="3" fillId="8" borderId="2" applyAlignment="1" pivotButton="0" quotePrefix="0" xfId="0">
      <alignment horizontal="right" vertical="center"/>
    </xf>
    <xf numFmtId="0" fontId="3" fillId="0" borderId="2" pivotButton="0" quotePrefix="0" xfId="0"/>
    <xf numFmtId="0" fontId="12" fillId="0" borderId="2" pivotButton="0" quotePrefix="0" xfId="0"/>
    <xf numFmtId="0" fontId="26" fillId="0" borderId="2" pivotButton="0" quotePrefix="0" xfId="0"/>
    <xf numFmtId="0" fontId="9" fillId="6" borderId="2" applyAlignment="1" pivotButton="0" quotePrefix="0" xfId="0">
      <alignment horizontal="center" wrapText="1"/>
    </xf>
    <xf numFmtId="166" fontId="12" fillId="0" borderId="2" applyAlignment="1" pivotButton="0" quotePrefix="0" xfId="0">
      <alignment horizontal="center"/>
    </xf>
    <xf numFmtId="165" fontId="13" fillId="0" borderId="2" applyAlignment="1" pivotButton="0" quotePrefix="0" xfId="0">
      <alignment horizontal="center"/>
    </xf>
    <xf numFmtId="0" fontId="24" fillId="0" borderId="0" applyAlignment="1" pivotButton="0" quotePrefix="0" xfId="0">
      <alignment vertical="top" wrapText="1"/>
    </xf>
    <xf numFmtId="0" fontId="5" fillId="4" borderId="2" pivotButton="0" quotePrefix="0" xfId="0"/>
    <xf numFmtId="164" fontId="5" fillId="4" borderId="2" pivotButton="0" quotePrefix="0" xfId="0"/>
    <xf numFmtId="165" fontId="5" fillId="4" borderId="2" pivotButton="0" quotePrefix="0" xfId="0"/>
    <xf numFmtId="0" fontId="4" fillId="0" borderId="0" applyAlignment="1" pivotButton="0" quotePrefix="0" xfId="0">
      <alignment indent="1"/>
    </xf>
    <xf numFmtId="0" fontId="8" fillId="0" borderId="0" applyAlignment="1" pivotButton="0" quotePrefix="0" xfId="0">
      <alignment indent="1"/>
    </xf>
    <xf numFmtId="165" fontId="7" fillId="5" borderId="2" pivotButton="0" quotePrefix="0" xfId="0"/>
    <xf numFmtId="165" fontId="8" fillId="5" borderId="2" pivotButton="0" quotePrefix="0" xfId="0"/>
    <xf numFmtId="165" fontId="7" fillId="0" borderId="2" pivotButton="0" quotePrefix="0" xfId="0"/>
    <xf numFmtId="166" fontId="5" fillId="4" borderId="2" pivotButton="0" quotePrefix="0" xfId="0"/>
    <xf numFmtId="0" fontId="9" fillId="6" borderId="2" applyAlignment="1" pivotButton="0" quotePrefix="0" xfId="0">
      <alignment horizontal="center" vertical="center" wrapText="1"/>
    </xf>
    <xf numFmtId="0" fontId="4" fillId="0" borderId="2" pivotButton="0" quotePrefix="0" xfId="0"/>
    <xf numFmtId="164" fontId="4" fillId="0" borderId="2" pivotButton="0" quotePrefix="0" xfId="0"/>
    <xf numFmtId="166" fontId="4" fillId="0" borderId="2" pivotButton="0" quotePrefix="0" xfId="0"/>
    <xf numFmtId="165" fontId="4" fillId="0" borderId="2" pivotButton="0" quotePrefix="0" xfId="0"/>
    <xf numFmtId="0" fontId="2" fillId="0" borderId="2" pivotButton="0" quotePrefix="0" xfId="0"/>
    <xf numFmtId="0" fontId="8" fillId="5" borderId="2" pivotButton="0" quotePrefix="0" xfId="0"/>
    <xf numFmtId="0" fontId="26" fillId="5" borderId="2" pivotButton="0" quotePrefix="0" xfId="0"/>
    <xf numFmtId="164" fontId="8" fillId="5" borderId="2" pivotButton="0" quotePrefix="0" xfId="0"/>
    <xf numFmtId="166" fontId="8" fillId="5" borderId="2" pivotButton="0" quotePrefix="0" xfId="0"/>
    <xf numFmtId="0" fontId="8" fillId="0" borderId="2" pivotButton="0" quotePrefix="0" xfId="0"/>
    <xf numFmtId="164" fontId="10" fillId="0" borderId="2" pivotButton="0" quotePrefix="0" xfId="0"/>
    <xf numFmtId="164" fontId="7" fillId="0" borderId="2" pivotButton="0" quotePrefix="0" xfId="0"/>
    <xf numFmtId="166" fontId="10" fillId="0" borderId="2" pivotButton="0" quotePrefix="0" xfId="0"/>
    <xf numFmtId="166" fontId="11" fillId="0" borderId="2" pivotButton="0" quotePrefix="0" xfId="0"/>
    <xf numFmtId="166" fontId="26" fillId="0" borderId="2" pivotButton="0" quotePrefix="0" xfId="0"/>
    <xf numFmtId="10" fontId="5" fillId="4" borderId="2" pivotButton="0" quotePrefix="0" xfId="0"/>
    <xf numFmtId="164" fontId="26" fillId="0" borderId="2" pivotButton="0" quotePrefix="0" xfId="0"/>
    <xf numFmtId="0" fontId="12" fillId="5" borderId="2" pivotButton="0" quotePrefix="0" xfId="0"/>
    <xf numFmtId="166" fontId="12" fillId="5" borderId="2" pivotButton="0" quotePrefix="0" xfId="0"/>
    <xf numFmtId="164" fontId="12" fillId="5" borderId="2" pivotButton="0" quotePrefix="0" xfId="0"/>
    <xf numFmtId="0" fontId="6" fillId="3" borderId="0" pivotButton="0" quotePrefix="0" xfId="0"/>
    <xf numFmtId="0" fontId="26" fillId="3" borderId="0" pivotButton="0" quotePrefix="0" xfId="0"/>
    <xf numFmtId="0" fontId="4" fillId="0" borderId="2" applyAlignment="1" pivotButton="0" quotePrefix="0" xfId="0">
      <alignment indent="1"/>
    </xf>
    <xf numFmtId="0" fontId="13" fillId="0" borderId="2" applyAlignment="1" pivotButton="0" quotePrefix="0" xfId="0">
      <alignment horizontal="center"/>
    </xf>
    <xf numFmtId="0" fontId="5" fillId="4" borderId="2" applyAlignment="1" pivotButton="0" quotePrefix="0" xfId="0">
      <alignment horizontal="center"/>
    </xf>
    <xf numFmtId="166" fontId="14" fillId="0" borderId="2" pivotButton="0" quotePrefix="0" xfId="0"/>
    <xf numFmtId="0" fontId="15" fillId="0" borderId="2" applyAlignment="1" pivotButton="0" quotePrefix="0" xfId="0">
      <alignment horizontal="center"/>
    </xf>
    <xf numFmtId="166" fontId="8" fillId="0" borderId="2" pivotButton="0" quotePrefix="0" xfId="0"/>
    <xf numFmtId="0" fontId="16" fillId="7" borderId="3" pivotButton="0" quotePrefix="0" xfId="0"/>
    <xf numFmtId="0" fontId="26" fillId="7" borderId="3" pivotButton="0" quotePrefix="0" xfId="0"/>
    <xf numFmtId="166" fontId="16" fillId="7" borderId="3" pivotButton="0" quotePrefix="0" xfId="0"/>
    <xf numFmtId="166" fontId="6" fillId="0" borderId="2" pivotButton="0" quotePrefix="0" xfId="0"/>
    <xf numFmtId="166" fontId="14" fillId="5" borderId="2" pivotButton="0" quotePrefix="0" xfId="0"/>
    <xf numFmtId="165" fontId="17" fillId="5" borderId="2" applyAlignment="1" pivotButton="0" quotePrefix="0" xfId="0">
      <alignment horizontal="center"/>
    </xf>
    <xf numFmtId="0" fontId="2" fillId="5" borderId="2" pivotButton="0" quotePrefix="0" xfId="0"/>
    <xf numFmtId="166" fontId="7" fillId="0" borderId="2" pivotButton="0" quotePrefix="0" xfId="0"/>
    <xf numFmtId="0" fontId="8" fillId="0" borderId="2" applyAlignment="1" pivotButton="0" quotePrefix="0" xfId="0">
      <alignment indent="1"/>
    </xf>
    <xf numFmtId="165" fontId="17" fillId="0" borderId="2" applyAlignment="1" pivotButton="0" quotePrefix="0" xfId="0">
      <alignment horizontal="center"/>
    </xf>
    <xf numFmtId="166" fontId="11" fillId="5" borderId="2" pivotButton="0" quotePrefix="0" xfId="0"/>
    <xf numFmtId="166" fontId="18" fillId="5" borderId="2" pivotButton="0" quotePrefix="0" xfId="0"/>
    <xf numFmtId="0" fontId="19" fillId="7" borderId="3" pivotButton="0" quotePrefix="0" xfId="0"/>
    <xf numFmtId="166" fontId="20" fillId="7" borderId="3" pivotButton="0" quotePrefix="0" xfId="0"/>
    <xf numFmtId="165" fontId="17" fillId="7" borderId="3" applyAlignment="1" pivotButton="0" quotePrefix="0" xfId="0">
      <alignment horizontal="center"/>
    </xf>
    <xf numFmtId="164" fontId="11" fillId="0" borderId="2" pivotButton="0" quotePrefix="0" xfId="0"/>
    <xf numFmtId="165" fontId="11" fillId="0" borderId="2" pivotButton="0" quotePrefix="0" xfId="0"/>
    <xf numFmtId="0" fontId="11" fillId="0" borderId="2" pivotButton="0" quotePrefix="0" xfId="0"/>
    <xf numFmtId="165" fontId="4" fillId="0" borderId="4" pivotButton="0" quotePrefix="0" xfId="0"/>
    <xf numFmtId="164" fontId="4" fillId="0" borderId="4" pivotButton="0" quotePrefix="0" xfId="0"/>
    <xf numFmtId="166" fontId="4" fillId="0" borderId="4" pivotButton="0" quotePrefix="0" xfId="0"/>
    <xf numFmtId="166" fontId="8" fillId="5" borderId="4" pivotButton="0" quotePrefix="0" xfId="0"/>
    <xf numFmtId="166" fontId="8" fillId="7" borderId="2" pivotButton="0" quotePrefix="0" xfId="0"/>
    <xf numFmtId="166" fontId="8" fillId="7" borderId="4" pivotButton="0" quotePrefix="0" xfId="0"/>
    <xf numFmtId="0" fontId="3" fillId="0" borderId="0" pivotButton="0" quotePrefix="0" xfId="0"/>
    <xf numFmtId="166" fontId="21" fillId="6" borderId="2" applyAlignment="1" pivotButton="0" quotePrefix="0" xfId="0">
      <alignment horizontal="center"/>
    </xf>
    <xf numFmtId="165" fontId="21" fillId="6" borderId="2" applyAlignment="1" pivotButton="0" quotePrefix="0" xfId="0">
      <alignment horizontal="center"/>
    </xf>
    <xf numFmtId="0" fontId="9" fillId="6" borderId="2" pivotButton="0" quotePrefix="0" xfId="0"/>
    <xf numFmtId="164" fontId="4" fillId="0" borderId="2" applyAlignment="1" pivotButton="0" quotePrefix="0" xfId="0">
      <alignment horizontal="center"/>
    </xf>
    <xf numFmtId="165" fontId="8" fillId="0" borderId="2" applyAlignment="1" pivotButton="0" quotePrefix="0" xfId="0">
      <alignment horizontal="center"/>
    </xf>
    <xf numFmtId="0" fontId="8" fillId="0" borderId="2" applyAlignment="1" pivotButton="0" quotePrefix="0" xfId="0">
      <alignment horizontal="center" vertical="top" wrapText="1"/>
    </xf>
    <xf numFmtId="0" fontId="6" fillId="0" borderId="2" applyAlignment="1" pivotButton="0" quotePrefix="0" xfId="0">
      <alignment horizontal="left" vertical="top" wrapText="1"/>
    </xf>
    <xf numFmtId="0" fontId="4" fillId="0" borderId="2" applyAlignment="1" pivotButton="0" quotePrefix="0" xfId="0">
      <alignment horizontal="left" vertical="top" wrapText="1"/>
    </xf>
    <xf numFmtId="0" fontId="25" fillId="0" borderId="2" applyAlignment="1" pivotButton="0" quotePrefix="0" xfId="0">
      <alignment horizontal="left" vertical="top" wrapText="1"/>
    </xf>
    <xf numFmtId="0" fontId="8" fillId="0" borderId="2" applyAlignment="1" pivotButton="0" quotePrefix="0" xfId="0">
      <alignment horizontal="left" vertical="top" wrapText="1"/>
    </xf>
    <xf numFmtId="0" fontId="2" fillId="0" borderId="2" applyAlignment="1" pivotButton="0" quotePrefix="0" xfId="0">
      <alignment horizontal="left" vertical="top" wrapText="1"/>
    </xf>
    <xf numFmtId="0" fontId="8" fillId="8" borderId="2" applyAlignment="1" pivotButton="0" quotePrefix="0" xfId="0">
      <alignment horizontal="center" vertical="top" wrapText="1"/>
    </xf>
    <xf numFmtId="0" fontId="6" fillId="8" borderId="2" applyAlignment="1" pivotButton="0" quotePrefix="0" xfId="0">
      <alignment horizontal="left" vertical="top" wrapText="1"/>
    </xf>
    <xf numFmtId="0" fontId="4" fillId="8" borderId="2" applyAlignment="1" pivotButton="0" quotePrefix="0" xfId="0">
      <alignment horizontal="left" vertical="top" wrapText="1"/>
    </xf>
    <xf numFmtId="0" fontId="25" fillId="8" borderId="2" applyAlignment="1" pivotButton="0" quotePrefix="0" xfId="0">
      <alignment horizontal="left" vertical="top" wrapText="1"/>
    </xf>
    <xf numFmtId="0" fontId="8" fillId="8" borderId="2" applyAlignment="1" pivotButton="0" quotePrefix="0" xfId="0">
      <alignment horizontal="left" vertical="top" wrapText="1"/>
    </xf>
    <xf numFmtId="0" fontId="2" fillId="8" borderId="2" applyAlignment="1" pivotButton="0" quotePrefix="0" xfId="0">
      <alignment horizontal="left" vertical="top" wrapText="1"/>
    </xf>
  </cellXfs>
  <cellStyles count="1">
    <cellStyle name="Normal" xfId="0" builtinId="0" hidden="0"/>
  </cellStyles>
  <dxfs count="2">
    <dxf>
      <font>
        <b val="1"/>
        <color rgb="009C0006"/>
      </font>
      <fill>
        <patternFill patternType="solid">
          <fgColor rgb="00FFC7CE"/>
        </patternFill>
      </fill>
    </dxf>
    <dxf>
      <font>
        <b val="1"/>
        <color rgb="0000610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model</author>
  </authors>
  <commentList>
    <comment ref="B18" authorId="0" shapeId="0">
      <text>
        <t>Схема 1 выгоднее организатору, но повышает итоговую цену для зрителя и снижает конверсию.
Схема 2 — чаще встречается в договорах с билетными операторами.</t>
      </text>
    </comment>
    <comment ref="B24" authorId="0" shapeId="0">
      <text>
        <t>По условиям сделки на уровне валового сбора удерживается только УСН 6%.
Страховые взносы и банковские комиссии учитываются на втором уровне — при выплате доли организатору.</t>
      </text>
    </comment>
    <comment ref="B26" authorId="0" shapeId="0">
      <text>
        <t>РАО взимает ставку с валового сбора от продажи билетов за публичное исполнение произведений.
Если исполняются только собственные произведения или произведения в общественном достоянии, ставку можно снизить или обнулить — см. лист «Варианты».
Ставку нужно подтвердить в договоре с РАО.</t>
      </text>
    </comment>
    <comment ref="B37" authorId="0" shapeId="0">
      <text>
        <t>Самая частая ловушка в сделках 50/50: прибыль делится пополам, а убыток — нет.
Если площадка не делит убыток, ваш риск асимметричен: выше точки безубыточности вы получаете 50%, ниже — теряете 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F32"/>
  <sheetViews>
    <sheetView showGridLines="0" workbookViewId="0">
      <selection activeCell="A1" sqref="A1"/>
    </sheetView>
  </sheetViews>
  <sheetFormatPr baseColWidth="8" defaultRowHeight="15"/>
  <cols>
    <col width="3" customWidth="1" min="1" max="1"/>
    <col width="40" customWidth="1" min="2" max="2"/>
    <col width="22" customWidth="1" min="3" max="3"/>
    <col width="4" customWidth="1" min="4" max="4"/>
    <col width="40" customWidth="1" min="5" max="5"/>
    <col width="22" customWidth="1" min="6" max="6"/>
  </cols>
  <sheetData>
    <row r="1" ht="30" customHeight="1">
      <c r="A1" s="1" t="inlineStr">
        <is>
          <t>КОНЦЕРТ: ИТОГОВАЯ ЭКОНОМИКА</t>
        </is>
      </c>
      <c r="B1" s="2" t="n"/>
      <c r="C1" s="2" t="n"/>
      <c r="D1" s="2" t="n"/>
      <c r="E1" s="2" t="n"/>
      <c r="F1" s="2" t="n"/>
    </row>
    <row r="2">
      <c r="A2" s="3" t="inlineStr">
        <is>
          <t>Один экран с главными цифрами. Все они пересчитываются автоматически — меняйте вводные на листах «Вводные», «Билеты», «Расходы» и «Маркетинг».</t>
        </is>
      </c>
      <c r="B2" s="4" t="n"/>
      <c r="C2" s="4" t="n"/>
      <c r="D2" s="4" t="n"/>
      <c r="E2" s="4" t="n"/>
      <c r="F2" s="4" t="n"/>
    </row>
    <row r="3">
      <c r="A3" s="4" t="n"/>
      <c r="B3" s="4" t="n"/>
      <c r="C3" s="4" t="n"/>
      <c r="D3" s="4" t="n"/>
      <c r="E3" s="4" t="n"/>
      <c r="F3" s="4" t="n"/>
    </row>
    <row r="4">
      <c r="A4" s="4" t="n"/>
      <c r="B4" s="5" t="inlineStr">
        <is>
          <t>Проект</t>
        </is>
      </c>
      <c r="C4" s="6">
        <f>Вводные!$B$5</f>
        <v/>
      </c>
      <c r="D4" s="4" t="n"/>
      <c r="E4" s="5" t="inlineStr">
        <is>
          <t>Дата / площадка</t>
        </is>
      </c>
      <c r="F4" s="7">
        <f>Вводные!$B$7&amp;" · "&amp;Вводные!$B$8</f>
        <v/>
      </c>
    </row>
    <row r="5">
      <c r="A5" s="4" t="n"/>
      <c r="B5" s="4" t="n"/>
      <c r="C5" s="4" t="n"/>
      <c r="D5" s="4" t="n"/>
      <c r="E5" s="4" t="n"/>
      <c r="F5" s="4" t="n"/>
    </row>
    <row r="6" ht="20" customHeight="1">
      <c r="A6" s="8" t="inlineStr">
        <is>
          <t>ГЛАВНЫЕ ЦИФРЫ</t>
        </is>
      </c>
      <c r="B6" s="9" t="n"/>
      <c r="C6" s="9" t="n"/>
      <c r="D6" s="9" t="n"/>
      <c r="E6" s="9" t="n"/>
      <c r="F6" s="9" t="n"/>
    </row>
    <row r="7" ht="20" customHeight="1">
      <c r="A7" s="4" t="n"/>
      <c r="B7" s="10" t="inlineStr">
        <is>
          <t>Валовой сбор (box office)</t>
        </is>
      </c>
      <c r="C7" s="11">
        <f>Экономика!$B$9</f>
        <v/>
      </c>
      <c r="D7" s="4" t="n"/>
      <c r="E7" s="10" t="inlineStr">
        <is>
          <t>Продано билетов, шт</t>
        </is>
      </c>
      <c r="F7" s="12">
        <f>Экономика!$B$6</f>
        <v/>
      </c>
    </row>
    <row r="8" ht="20" customHeight="1">
      <c r="A8" s="4" t="n"/>
      <c r="B8" s="10" t="inlineStr">
        <is>
          <t>Итого расходы (смета + переменные)</t>
        </is>
      </c>
      <c r="C8" s="11">
        <f>Экономика!$B$26</f>
        <v/>
      </c>
      <c r="D8" s="4" t="n"/>
      <c r="E8" s="10" t="inlineStr">
        <is>
          <t>Средняя цена платного билета</t>
        </is>
      </c>
      <c r="F8" s="11">
        <f>Экономика!$B$8</f>
        <v/>
      </c>
    </row>
    <row r="9" ht="20" customHeight="1">
      <c r="A9" s="4" t="n"/>
      <c r="B9" s="10" t="inlineStr">
        <is>
          <t>Налоги, РАО и комиссии, всего</t>
        </is>
      </c>
      <c r="C9" s="11">
        <f>Экономика!$B$15-Экономика!$B$32-Экономика!$B$36</f>
        <v/>
      </c>
      <c r="D9" s="4" t="n"/>
      <c r="E9" s="10" t="inlineStr">
        <is>
          <t>Дополнительные доходы</t>
        </is>
      </c>
      <c r="F9" s="11">
        <f>Билеты!$E$32</f>
        <v/>
      </c>
    </row>
    <row r="10" ht="24" customHeight="1">
      <c r="A10" s="4" t="n"/>
      <c r="B10" s="13" t="inlineStr">
        <is>
          <t>ПРИБЫЛЬ К РАЗДЕЛУ С ПЛОЩАДКОЙ</t>
        </is>
      </c>
      <c r="C10" s="14">
        <f>Экономика!$B$29</f>
        <v/>
      </c>
      <c r="D10" s="4" t="n"/>
      <c r="E10" s="13" t="inlineStr">
        <is>
          <t>ЧИСТЫЙ ДОХОД ОРГАНИЗАТОРА</t>
        </is>
      </c>
      <c r="F10" s="14">
        <f>Экономика!$B$37</f>
        <v/>
      </c>
    </row>
    <row r="11">
      <c r="A11" s="4" t="n"/>
      <c r="B11" s="4" t="n"/>
      <c r="C11" s="4" t="n"/>
      <c r="D11" s="4" t="n"/>
      <c r="E11" s="4" t="n"/>
      <c r="F11" s="4" t="n"/>
    </row>
    <row r="12" ht="20" customHeight="1">
      <c r="A12" s="8" t="inlineStr">
        <is>
          <t>УСТОЙЧИВОСТЬ ПРОЕКТА</t>
        </is>
      </c>
      <c r="B12" s="9" t="n"/>
      <c r="C12" s="9" t="n"/>
      <c r="D12" s="9" t="n"/>
      <c r="E12" s="9" t="n"/>
      <c r="F12" s="9" t="n"/>
    </row>
    <row r="13" ht="20" customHeight="1">
      <c r="A13" s="4" t="n"/>
      <c r="B13" s="10" t="inlineStr">
        <is>
          <t>Точка безубыточности, платных билетов</t>
        </is>
      </c>
      <c r="C13" s="12">
        <f>Экономика!$B$41</f>
        <v/>
      </c>
      <c r="D13" s="4" t="n"/>
      <c r="E13" s="10" t="inlineStr">
        <is>
          <t>Точка безубыточности, % зала</t>
        </is>
      </c>
      <c r="F13" s="15">
        <f>Экономика!$B$42</f>
        <v/>
      </c>
    </row>
    <row r="14" ht="20" customHeight="1">
      <c r="A14" s="4" t="n"/>
      <c r="B14" s="10" t="inlineStr">
        <is>
          <t>Запас прочности</t>
        </is>
      </c>
      <c r="C14" s="15">
        <f>Экономика!$B$43</f>
        <v/>
      </c>
      <c r="D14" s="4" t="n"/>
      <c r="E14" s="10" t="inlineStr">
        <is>
          <t>Рентабельность к валовому сбору</t>
        </is>
      </c>
      <c r="F14" s="15">
        <f>Экономика!$B$44</f>
        <v/>
      </c>
    </row>
    <row r="15" ht="20" customHeight="1">
      <c r="A15" s="4" t="n"/>
      <c r="B15" s="10" t="inlineStr">
        <is>
          <t>Маржинальный доход с билета</t>
        </is>
      </c>
      <c r="C15" s="11">
        <f>Экономика!$B$40</f>
        <v/>
      </c>
      <c r="D15" s="4" t="n"/>
      <c r="E15" s="10" t="inlineStr">
        <is>
          <t>Чистый доход на один билет</t>
        </is>
      </c>
      <c r="F15" s="11">
        <f>Экономика!$B$45</f>
        <v/>
      </c>
    </row>
    <row r="16">
      <c r="A16" s="4" t="n"/>
      <c r="B16" s="4" t="n"/>
      <c r="C16" s="4" t="n"/>
      <c r="D16" s="4" t="n"/>
      <c r="E16" s="4" t="n"/>
      <c r="F16" s="4" t="n"/>
    </row>
    <row r="17" ht="24" customHeight="1">
      <c r="A17" s="4" t="n"/>
      <c r="B17" s="16" t="inlineStr">
        <is>
          <t>ВЕРДИКТ</t>
        </is>
      </c>
      <c r="C17" s="17">
        <f>Экономика!$B$47</f>
        <v/>
      </c>
      <c r="D17" s="18" t="n"/>
      <c r="E17" s="18" t="n"/>
      <c r="F17" s="18" t="n"/>
    </row>
    <row r="18">
      <c r="A18" s="4" t="n"/>
      <c r="B18" s="4" t="n"/>
      <c r="C18" s="4" t="n"/>
      <c r="D18" s="4" t="n"/>
      <c r="E18" s="4" t="n"/>
      <c r="F18" s="4" t="n"/>
    </row>
    <row r="19" ht="20" customHeight="1">
      <c r="A19" s="8" t="inlineStr">
        <is>
          <t>СЦЕНАРИИ — ЧИСТЫЙ ДОХОД ОРГАНИЗАТОРА</t>
        </is>
      </c>
      <c r="B19" s="9" t="n"/>
      <c r="C19" s="9" t="n"/>
      <c r="D19" s="9" t="n"/>
      <c r="E19" s="9" t="n"/>
      <c r="F19" s="9" t="n"/>
    </row>
    <row r="20">
      <c r="A20" s="4" t="n"/>
      <c r="B20" s="19" t="inlineStr">
        <is>
          <t>Пессимистичный</t>
        </is>
      </c>
      <c r="C20" s="19" t="inlineStr">
        <is>
          <t>Базовый</t>
        </is>
      </c>
      <c r="D20" s="19" t="inlineStr">
        <is>
          <t>Оптимистичный</t>
        </is>
      </c>
      <c r="E20" s="19" t="inlineStr">
        <is>
          <t>Аншлаг</t>
        </is>
      </c>
      <c r="F20" s="4" t="n"/>
    </row>
    <row r="21">
      <c r="A21" s="4" t="n"/>
      <c r="B21" s="20">
        <f>Сценарии!B23</f>
        <v/>
      </c>
      <c r="C21" s="20">
        <f>Сценарии!C23</f>
        <v/>
      </c>
      <c r="D21" s="20">
        <f>Сценарии!D23</f>
        <v/>
      </c>
      <c r="E21" s="20">
        <f>Сценарии!E23</f>
        <v/>
      </c>
      <c r="F21" s="4" t="n"/>
    </row>
    <row r="22">
      <c r="A22" s="4" t="n"/>
      <c r="B22" s="21">
        <f>Сценарии!B5</f>
        <v/>
      </c>
      <c r="C22" s="21">
        <f>Сценарии!C5</f>
        <v/>
      </c>
      <c r="D22" s="21">
        <f>Сценарии!D5</f>
        <v/>
      </c>
      <c r="E22" s="21">
        <f>Сценарии!E5</f>
        <v/>
      </c>
      <c r="F22" s="3" t="inlineStr">
        <is>
          <t>← заполняемость зала в сценарии</t>
        </is>
      </c>
    </row>
    <row r="23">
      <c r="A23" s="4" t="n"/>
      <c r="B23" s="4" t="n"/>
      <c r="C23" s="4" t="n"/>
      <c r="D23" s="4" t="n"/>
      <c r="E23" s="4" t="n"/>
      <c r="F23" s="4" t="n"/>
    </row>
    <row r="24" ht="20" customHeight="1">
      <c r="A24" s="8" t="inlineStr">
        <is>
          <t>ЧТО ОБЯЗАТЕЛЬНО УТОЧНИТЬ ПЕРЕД ЗАПУСКОМ</t>
        </is>
      </c>
      <c r="B24" s="9" t="n"/>
      <c r="C24" s="9" t="n"/>
      <c r="D24" s="9" t="n"/>
      <c r="E24" s="9" t="n"/>
      <c r="F24" s="9" t="n"/>
    </row>
    <row r="25" ht="26" customHeight="1">
      <c r="A25" s="4" t="n"/>
      <c r="B25" s="22" t="inlineStr">
        <is>
          <t>1. Договор с площадкой: что именно входит в её вклад (звук, свет, персонал, охрана, уборка) — впишите это в столбец «Оплачивает» на листе «Расходы».</t>
        </is>
      </c>
      <c r="C25" s="4" t="n"/>
      <c r="D25" s="4" t="n"/>
      <c r="E25" s="4" t="n"/>
      <c r="F25" s="4" t="n"/>
    </row>
    <row r="26" ht="26" customHeight="1">
      <c r="A26" s="4" t="n"/>
      <c r="B26" s="22" t="inlineStr">
        <is>
          <t>2. Договор с площадкой: делится ли убыток. Если нет — весь минус ваш, а плюс только наполовину.</t>
        </is>
      </c>
      <c r="C26" s="4" t="n"/>
      <c r="D26" s="4" t="n"/>
      <c r="E26" s="4" t="n"/>
      <c r="F26" s="4" t="n"/>
    </row>
    <row r="27" ht="26" customHeight="1">
      <c r="A27" s="4" t="n"/>
      <c r="B27" s="22" t="inlineStr">
        <is>
          <t>3. Договор с площадкой: из какой базы считается «прибыль к разделу» и кто подтверждает смету расходов.</t>
        </is>
      </c>
      <c r="C27" s="4" t="n"/>
      <c r="D27" s="4" t="n"/>
      <c r="E27" s="4" t="n"/>
      <c r="F27" s="4" t="n"/>
    </row>
    <row r="28" ht="26" customHeight="1">
      <c r="A28" s="4" t="n"/>
      <c r="B28" s="22" t="inlineStr">
        <is>
          <t>4. Билетный оператор: ставка комиссии и чья это комиссия — покупателя или ваша (схема 1 или 2 на листе «Вводные»).</t>
        </is>
      </c>
      <c r="C28" s="4" t="n"/>
      <c r="D28" s="4" t="n"/>
      <c r="E28" s="4" t="n"/>
      <c r="F28" s="4" t="n"/>
    </row>
    <row r="29" ht="26" customHeight="1">
      <c r="A29" s="4" t="n"/>
      <c r="B29" s="22" t="inlineStr">
        <is>
          <t>5. Билетный оператор: агентская схема или прямая продажа — от этого зависит, вся ли касса попадает в базу УСН.</t>
        </is>
      </c>
      <c r="C29" s="4" t="n"/>
      <c r="D29" s="4" t="n"/>
      <c r="E29" s="4" t="n"/>
      <c r="F29" s="4" t="n"/>
    </row>
    <row r="30" ht="26" customHeight="1">
      <c r="A30" s="4" t="n"/>
      <c r="B30" s="22" t="inlineStr">
        <is>
          <t>6. РАО: ставка по договору и перечень исполняемых произведений (собственные и общественное достояние считаются иначе).</t>
        </is>
      </c>
      <c r="C30" s="4" t="n"/>
      <c r="D30" s="4" t="n"/>
      <c r="E30" s="4" t="n"/>
      <c r="F30" s="4" t="n"/>
    </row>
    <row r="31" ht="26" customHeight="1">
      <c r="A31" s="4" t="n"/>
      <c r="B31" s="22" t="inlineStr">
        <is>
          <t>7. Кто получает деньги от билетов физически — вы или площадка. От этого зависит, у кого возникает доход и на каком уровне удерживается УСН.</t>
        </is>
      </c>
      <c r="C31" s="4" t="n"/>
      <c r="D31" s="4" t="n"/>
      <c r="E31" s="4" t="n"/>
      <c r="F31" s="4" t="n"/>
    </row>
    <row r="32" ht="26" customHeight="1">
      <c r="A32" s="4" t="n"/>
      <c r="B32" s="22" t="inlineStr">
        <is>
          <t>8. Технический райдер артиста — пришлите файл, и я перенесу его построчно в смету с реальными ценами аренды.</t>
        </is>
      </c>
      <c r="C32" s="4" t="n"/>
      <c r="D32" s="4" t="n"/>
      <c r="E32" s="4" t="n"/>
      <c r="F32" s="4" t="n"/>
    </row>
  </sheetData>
  <mergeCells count="9">
    <mergeCell ref="B30:F30"/>
    <mergeCell ref="B29:F29"/>
    <mergeCell ref="C17:F17"/>
    <mergeCell ref="B25:F25"/>
    <mergeCell ref="B28:F28"/>
    <mergeCell ref="B31:F31"/>
    <mergeCell ref="B32:F32"/>
    <mergeCell ref="B26:F26"/>
    <mergeCell ref="B27:F27"/>
  </mergeCells>
  <conditionalFormatting sqref="C17">
    <cfRule type="expression" priority="1" dxfId="0">
      <formula>LEFT($C$17,6)="УБЫТОК"</formula>
    </cfRule>
    <cfRule type="expression" priority="2" dxfId="1">
      <formula>LEFT($C$17,7)="ЗДОРОВО"</formula>
    </cfRule>
  </conditionalFormatting>
  <conditionalFormatting sqref="B21:E21">
    <cfRule type="cellIs" priority="3" operator="lessThan" dxfId="0">
      <formula>0</formula>
    </cfRule>
  </conditionalFormatting>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H42"/>
  <sheetViews>
    <sheetView workbookViewId="0">
      <pane ySplit="3" topLeftCell="A4" activePane="bottomLeft" state="frozen"/>
      <selection pane="bottomLeft" activeCell="A1" sqref="A1"/>
    </sheetView>
  </sheetViews>
  <sheetFormatPr baseColWidth="8" defaultRowHeight="15"/>
  <cols>
    <col width="52" customWidth="1" min="1" max="1"/>
    <col width="18" customWidth="1" min="2" max="2"/>
    <col width="64" customWidth="1" min="3" max="3"/>
  </cols>
  <sheetData>
    <row r="1" ht="30" customHeight="1">
      <c r="A1" s="1" t="inlineStr">
        <is>
          <t>ВВОДНЫЕ ДАННЫЕ И ДОПУЩЕНИЯ</t>
        </is>
      </c>
      <c r="B1" s="2" t="n"/>
      <c r="C1" s="2" t="n"/>
      <c r="D1" s="2" t="n"/>
      <c r="E1" s="2" t="n"/>
      <c r="F1" s="2" t="n"/>
      <c r="G1" s="2" t="n"/>
      <c r="H1" s="2" t="n"/>
    </row>
    <row r="2">
      <c r="A2" s="3" t="inlineStr">
        <is>
          <t>Синие ячейки на жёлтом фоне — вводные, их можно и нужно менять. Чёрные — формулы, их менять не нужно. Зелёные — ссылки на другие листы.</t>
        </is>
      </c>
      <c r="B2" s="4" t="n"/>
      <c r="C2" s="4" t="n"/>
      <c r="D2" s="4" t="n"/>
      <c r="E2" s="4" t="n"/>
      <c r="F2" s="4" t="n"/>
      <c r="G2" s="4" t="n"/>
      <c r="H2" s="4" t="n"/>
    </row>
    <row r="3">
      <c r="A3" s="4" t="n"/>
      <c r="B3" s="4" t="n"/>
      <c r="C3" s="4" t="n"/>
      <c r="D3" s="4" t="n"/>
      <c r="E3" s="4" t="n"/>
      <c r="F3" s="4" t="n"/>
      <c r="G3" s="4" t="n"/>
      <c r="H3" s="4" t="n"/>
    </row>
    <row r="4" ht="20" customHeight="1">
      <c r="A4" s="8" t="inlineStr">
        <is>
          <t>1. ПАРАМЕТРЫ СОБЫТИЯ</t>
        </is>
      </c>
      <c r="B4" s="9" t="n"/>
      <c r="C4" s="9" t="n"/>
      <c r="D4" s="9" t="n"/>
      <c r="E4" s="9" t="n"/>
      <c r="F4" s="9" t="n"/>
      <c r="G4" s="9" t="n"/>
      <c r="H4" s="9" t="n"/>
    </row>
    <row r="5">
      <c r="A5" s="7" t="inlineStr">
        <is>
          <t>Название концерта</t>
        </is>
      </c>
      <c r="B5" s="23" t="inlineStr">
        <is>
          <t>— укажите название —</t>
        </is>
      </c>
      <c r="C5" s="4" t="n"/>
      <c r="D5" s="4" t="n"/>
      <c r="E5" s="4" t="n"/>
      <c r="F5" s="4" t="n"/>
      <c r="G5" s="4" t="n"/>
      <c r="H5" s="4" t="n"/>
    </row>
    <row r="6">
      <c r="A6" s="7" t="inlineStr">
        <is>
          <t>Артист / состав</t>
        </is>
      </c>
      <c r="B6" s="23" t="inlineStr">
        <is>
          <t>— укажите —</t>
        </is>
      </c>
      <c r="C6" s="4" t="n"/>
      <c r="D6" s="4" t="n"/>
      <c r="E6" s="4" t="n"/>
      <c r="F6" s="4" t="n"/>
      <c r="G6" s="4" t="n"/>
      <c r="H6" s="4" t="n"/>
    </row>
    <row r="7">
      <c r="A7" s="7" t="inlineStr">
        <is>
          <t>Дата и время</t>
        </is>
      </c>
      <c r="B7" s="23" t="inlineStr">
        <is>
          <t>— ДД.ММ.ГГГГ, 20:00 —</t>
        </is>
      </c>
      <c r="C7" s="4" t="n"/>
      <c r="D7" s="4" t="n"/>
      <c r="E7" s="4" t="n"/>
      <c r="F7" s="4" t="n"/>
      <c r="G7" s="4" t="n"/>
      <c r="H7" s="4" t="n"/>
    </row>
    <row r="8">
      <c r="A8" s="7" t="inlineStr">
        <is>
          <t>Площадка</t>
        </is>
      </c>
      <c r="B8" s="23" t="inlineStr">
        <is>
          <t>— клуб —</t>
        </is>
      </c>
      <c r="C8" s="4" t="n"/>
      <c r="D8" s="4" t="n"/>
      <c r="E8" s="4" t="n"/>
      <c r="F8" s="4" t="n"/>
      <c r="G8" s="4" t="n"/>
      <c r="H8" s="4" t="n"/>
    </row>
    <row r="9">
      <c r="A9" s="7" t="inlineStr">
        <is>
          <t>Город</t>
        </is>
      </c>
      <c r="B9" s="23" t="inlineStr">
        <is>
          <t>— город —</t>
        </is>
      </c>
      <c r="C9" s="4" t="n"/>
      <c r="D9" s="4" t="n"/>
      <c r="E9" s="4" t="n"/>
      <c r="F9" s="4" t="n"/>
      <c r="G9" s="4" t="n"/>
      <c r="H9" s="4" t="n"/>
    </row>
    <row r="10">
      <c r="A10" s="4" t="n"/>
      <c r="B10" s="4" t="n"/>
      <c r="C10" s="4" t="n"/>
      <c r="D10" s="4" t="n"/>
      <c r="E10" s="4" t="n"/>
      <c r="F10" s="4" t="n"/>
      <c r="G10" s="4" t="n"/>
      <c r="H10" s="4" t="n"/>
    </row>
    <row r="11" ht="20" customHeight="1">
      <c r="A11" s="8" t="inlineStr">
        <is>
          <t>2. ЗАЛ И ПОСЕЩАЕМОСТЬ</t>
        </is>
      </c>
      <c r="B11" s="9" t="n"/>
      <c r="C11" s="9" t="n"/>
      <c r="D11" s="9" t="n"/>
      <c r="E11" s="9" t="n"/>
      <c r="F11" s="9" t="n"/>
      <c r="G11" s="9" t="n"/>
      <c r="H11" s="9" t="n"/>
    </row>
    <row r="12">
      <c r="A12" s="7" t="inlineStr">
        <is>
          <t>Вместимость зала, чел.</t>
        </is>
      </c>
      <c r="B12" s="24" t="n">
        <v>300</v>
      </c>
      <c r="C12" s="3" t="inlineStr">
        <is>
          <t>Клубный формат. Поставьте реальную вместимость по договору с площадкой</t>
        </is>
      </c>
      <c r="D12" s="4" t="n"/>
      <c r="E12" s="4" t="n"/>
      <c r="F12" s="4" t="n"/>
      <c r="G12" s="4" t="n"/>
      <c r="H12" s="4" t="n"/>
    </row>
    <row r="13">
      <c r="A13" s="7" t="inlineStr">
        <is>
          <t>Заполняемость — пессимистичный сценарий</t>
        </is>
      </c>
      <c r="B13" s="25" t="n">
        <v>0.4</v>
      </c>
      <c r="C13" s="3" t="inlineStr">
        <is>
          <t>Слабый промо, плохая погода, конкурирующее событие в городе</t>
        </is>
      </c>
      <c r="D13" s="4" t="n"/>
      <c r="E13" s="4" t="n"/>
      <c r="F13" s="4" t="n"/>
      <c r="G13" s="4" t="n"/>
      <c r="H13" s="4" t="n"/>
    </row>
    <row r="14">
      <c r="A14" s="7" t="inlineStr">
        <is>
          <t>Заполняемость — оптимистичный сценарий</t>
        </is>
      </c>
      <c r="B14" s="25" t="n">
        <v>0.9</v>
      </c>
      <c r="C14" s="4" t="n"/>
      <c r="D14" s="4" t="n"/>
      <c r="E14" s="4" t="n"/>
      <c r="F14" s="4" t="n"/>
      <c r="G14" s="4" t="n"/>
      <c r="H14" s="4" t="n"/>
    </row>
    <row r="15">
      <c r="A15" s="7" t="inlineStr">
        <is>
          <t>Заполняемость — аншлаг</t>
        </is>
      </c>
      <c r="B15" s="25" t="n">
        <v>1</v>
      </c>
      <c r="C15" s="3" t="inlineStr">
        <is>
          <t>Базовый сценарий берётся с листа «Билеты» — там задана покатегорийная продажа</t>
        </is>
      </c>
      <c r="D15" s="4" t="n"/>
      <c r="E15" s="4" t="n"/>
      <c r="F15" s="4" t="n"/>
      <c r="G15" s="4" t="n"/>
      <c r="H15" s="4" t="n"/>
    </row>
    <row r="16">
      <c r="A16" s="4" t="n"/>
      <c r="B16" s="4" t="n"/>
      <c r="C16" s="4" t="n"/>
      <c r="D16" s="4" t="n"/>
      <c r="E16" s="4" t="n"/>
      <c r="F16" s="4" t="n"/>
      <c r="G16" s="4" t="n"/>
      <c r="H16" s="4" t="n"/>
    </row>
    <row r="17" ht="20" customHeight="1">
      <c r="A17" s="8" t="inlineStr">
        <is>
          <t>3. БИЛЕТНАЯ ПРОДАЖА</t>
        </is>
      </c>
      <c r="B17" s="9" t="n"/>
      <c r="C17" s="9" t="n"/>
      <c r="D17" s="9" t="n"/>
      <c r="E17" s="9" t="n"/>
      <c r="F17" s="9" t="n"/>
      <c r="G17" s="9" t="n"/>
      <c r="H17" s="9" t="n"/>
    </row>
    <row r="18">
      <c r="A18" s="7" t="inlineStr">
        <is>
          <t>Схема сервисного сбора (1 или 2)</t>
        </is>
      </c>
      <c r="B18" s="24" t="n">
        <v>2</v>
      </c>
      <c r="C18" s="3" t="inlineStr">
        <is>
          <t>1 = сбор платит покупатель сверх цены (вам — полная цена) · 2 = комиссия удерживается из цены (расход организатора)</t>
        </is>
      </c>
      <c r="D18" s="4" t="n"/>
      <c r="E18" s="4" t="n"/>
      <c r="F18" s="4" t="n"/>
      <c r="G18" s="4" t="n"/>
      <c r="H18" s="4" t="n"/>
    </row>
    <row r="19">
      <c r="A19" s="7" t="inlineStr">
        <is>
          <t>Комиссия билетного оператора, %</t>
        </is>
      </c>
      <c r="B19" s="25" t="n">
        <v>0.1</v>
      </c>
      <c r="C19" s="3" t="inlineStr">
        <is>
          <t>Рынок: 5–12% от номинала. Уточните в договоре с оператором</t>
        </is>
      </c>
      <c r="D19" s="4" t="n"/>
      <c r="E19" s="4" t="n"/>
      <c r="F19" s="4" t="n"/>
      <c r="G19" s="4" t="n"/>
      <c r="H19" s="4" t="n"/>
    </row>
    <row r="20">
      <c r="A20" s="7" t="inlineStr">
        <is>
          <t>Доля продаж на входе / напрямую, %</t>
        </is>
      </c>
      <c r="B20" s="25" t="n">
        <v>0.15</v>
      </c>
      <c r="C20" s="3" t="inlineStr">
        <is>
          <t>На эту часть комиссия оператора не начисляется</t>
        </is>
      </c>
      <c r="D20" s="4" t="n"/>
      <c r="E20" s="4" t="n"/>
      <c r="F20" s="4" t="n"/>
      <c r="G20" s="4" t="n"/>
      <c r="H20" s="4" t="n"/>
    </row>
    <row r="21">
      <c r="A21" s="4" t="n"/>
      <c r="B21" s="4" t="n"/>
      <c r="C21" s="4" t="n"/>
      <c r="D21" s="4" t="n"/>
      <c r="E21" s="4" t="n"/>
      <c r="F21" s="4" t="n"/>
      <c r="G21" s="4" t="n"/>
      <c r="H21" s="4" t="n"/>
    </row>
    <row r="22" ht="20" customHeight="1">
      <c r="A22" s="8" t="inlineStr">
        <is>
          <t>4. НАЛОГИ, СБОРЫ И ОТЧИСЛЕНИЯ</t>
        </is>
      </c>
      <c r="B22" s="9" t="n"/>
      <c r="C22" s="9" t="n"/>
      <c r="D22" s="9" t="n"/>
      <c r="E22" s="9" t="n"/>
      <c r="F22" s="9" t="n"/>
      <c r="G22" s="9" t="n"/>
      <c r="H22" s="9" t="n"/>
    </row>
    <row r="23">
      <c r="A23" s="5" t="inlineStr">
        <is>
          <t>УРОВЕНЬ 1 — с валового сбора (до раздела прибыли)</t>
        </is>
      </c>
      <c r="B23" s="4" t="n"/>
      <c r="C23" s="4" t="n"/>
      <c r="D23" s="4" t="n"/>
      <c r="E23" s="4" t="n"/>
      <c r="F23" s="4" t="n"/>
      <c r="G23" s="4" t="n"/>
      <c r="H23" s="4" t="n"/>
    </row>
    <row r="24">
      <c r="A24" s="26" t="inlineStr">
        <is>
          <t>УСН «доходы», %</t>
        </is>
      </c>
      <c r="B24" s="25" t="n">
        <v>0.06</v>
      </c>
      <c r="C24" s="3" t="inlineStr">
        <is>
          <t>На первом уровне удерживается только УСН 6%</t>
        </is>
      </c>
      <c r="D24" s="4" t="n"/>
      <c r="E24" s="4" t="n"/>
      <c r="F24" s="4" t="n"/>
      <c r="G24" s="4" t="n"/>
      <c r="H24" s="4" t="n"/>
    </row>
    <row r="25">
      <c r="A25" s="27" t="inlineStr">
        <is>
          <t>ИТОГО фискальная нагрузка, уровень 1</t>
        </is>
      </c>
      <c r="B25" s="28">
        <f>Вводные!$B$24</f>
        <v/>
      </c>
      <c r="C25" s="3" t="inlineStr">
        <is>
          <t>Удерживается с валового сбора до вычета расходов и раздела прибыли</t>
        </is>
      </c>
      <c r="D25" s="4" t="n"/>
      <c r="E25" s="4" t="n"/>
      <c r="F25" s="4" t="n"/>
      <c r="G25" s="4" t="n"/>
      <c r="H25" s="4" t="n"/>
    </row>
    <row r="26">
      <c r="A26" s="26" t="inlineStr">
        <is>
          <t>Отчисления в РАО, %</t>
        </is>
      </c>
      <c r="B26" s="25" t="n">
        <v>0.05</v>
      </c>
      <c r="C26" s="3" t="inlineStr">
        <is>
          <t>Стандартная ставка для концертов — 5% от валового сбора</t>
        </is>
      </c>
      <c r="D26" s="4" t="n"/>
      <c r="E26" s="4" t="n"/>
      <c r="F26" s="4" t="n"/>
      <c r="G26" s="4" t="n"/>
      <c r="H26" s="4" t="n"/>
    </row>
    <row r="27">
      <c r="A27" s="4" t="n"/>
      <c r="B27" s="4" t="n"/>
      <c r="C27" s="4" t="n"/>
      <c r="D27" s="4" t="n"/>
      <c r="E27" s="4" t="n"/>
      <c r="F27" s="4" t="n"/>
      <c r="G27" s="4" t="n"/>
      <c r="H27" s="4" t="n"/>
    </row>
    <row r="28">
      <c r="A28" s="5" t="inlineStr">
        <is>
          <t>УРОВЕНЬ 2 — с выплаты доли прибыли организатору</t>
        </is>
      </c>
      <c r="B28" s="4" t="n"/>
      <c r="C28" s="4" t="n"/>
      <c r="D28" s="4" t="n"/>
      <c r="E28" s="4" t="n"/>
      <c r="F28" s="4" t="n"/>
      <c r="G28" s="4" t="n"/>
      <c r="H28" s="4" t="n"/>
    </row>
    <row r="29">
      <c r="A29" s="26" t="inlineStr">
        <is>
          <t>УСН «доходы» с выплаты, %</t>
        </is>
      </c>
      <c r="B29" s="25" t="n">
        <v>0.06</v>
      </c>
      <c r="C29" s="4" t="n"/>
      <c r="D29" s="4" t="n"/>
      <c r="E29" s="4" t="n"/>
      <c r="F29" s="4" t="n"/>
      <c r="G29" s="4" t="n"/>
      <c r="H29" s="4" t="n"/>
    </row>
    <row r="30">
      <c r="A30" s="26" t="inlineStr">
        <is>
          <t>Страховые взносы (1% с дохода), %</t>
        </is>
      </c>
      <c r="B30" s="25" t="n">
        <v>0.01</v>
      </c>
      <c r="C30" s="4" t="n"/>
      <c r="D30" s="4" t="n"/>
      <c r="E30" s="4" t="n"/>
      <c r="F30" s="4" t="n"/>
      <c r="G30" s="4" t="n"/>
      <c r="H30" s="4" t="n"/>
    </row>
    <row r="31">
      <c r="A31" s="26" t="inlineStr">
        <is>
          <t>Банковские комиссии / эквайринг, %</t>
        </is>
      </c>
      <c r="B31" s="25" t="n">
        <v>0.01</v>
      </c>
      <c r="C31" s="4" t="n"/>
      <c r="D31" s="4" t="n"/>
      <c r="E31" s="4" t="n"/>
      <c r="F31" s="4" t="n"/>
      <c r="G31" s="4" t="n"/>
      <c r="H31" s="4" t="n"/>
    </row>
    <row r="32">
      <c r="A32" s="27" t="inlineStr">
        <is>
          <t>ИТОГО фискальная нагрузка, уровень 2</t>
        </is>
      </c>
      <c r="B32" s="29">
        <f>Вводные!$B$29+Вводные!$B$30+Вводные!$B$31</f>
        <v/>
      </c>
      <c r="C32" s="3" t="inlineStr">
        <is>
          <t>6% + 1% + 1% = 8% — удерживается с выплаты прибыли по договору с площадкой</t>
        </is>
      </c>
      <c r="D32" s="4" t="n"/>
      <c r="E32" s="4" t="n"/>
      <c r="F32" s="4" t="n"/>
      <c r="G32" s="4" t="n"/>
      <c r="H32" s="4" t="n"/>
    </row>
    <row r="33">
      <c r="A33" s="4" t="n"/>
      <c r="B33" s="4" t="n"/>
      <c r="C33" s="4" t="n"/>
      <c r="D33" s="4" t="n"/>
      <c r="E33" s="4" t="n"/>
      <c r="F33" s="4" t="n"/>
      <c r="G33" s="4" t="n"/>
      <c r="H33" s="4" t="n"/>
    </row>
    <row r="34" ht="20" customHeight="1">
      <c r="A34" s="8" t="inlineStr">
        <is>
          <t>5. РАЗДЕЛ ПРИБЫЛИ С ПЛОЩАДКОЙ</t>
        </is>
      </c>
      <c r="B34" s="9" t="n"/>
      <c r="C34" s="9" t="n"/>
      <c r="D34" s="9" t="n"/>
      <c r="E34" s="9" t="n"/>
      <c r="F34" s="9" t="n"/>
      <c r="G34" s="9" t="n"/>
      <c r="H34" s="9" t="n"/>
    </row>
    <row r="35">
      <c r="A35" s="7" t="inlineStr">
        <is>
          <t>Доля организатора в прибыли, %</t>
        </is>
      </c>
      <c r="B35" s="25" t="n">
        <v>0.5</v>
      </c>
      <c r="C35" s="4" t="n"/>
      <c r="D35" s="4" t="n"/>
      <c r="E35" s="4" t="n"/>
      <c r="F35" s="4" t="n"/>
      <c r="G35" s="4" t="n"/>
      <c r="H35" s="4" t="n"/>
    </row>
    <row r="36">
      <c r="A36" s="7" t="inlineStr">
        <is>
          <t>Доля площадки в прибыли, %</t>
        </is>
      </c>
      <c r="B36" s="30">
        <f>1-Вводные!$B$35</f>
        <v/>
      </c>
      <c r="C36" s="4" t="n"/>
      <c r="D36" s="4" t="n"/>
      <c r="E36" s="4" t="n"/>
      <c r="F36" s="4" t="n"/>
      <c r="G36" s="4" t="n"/>
      <c r="H36" s="4" t="n"/>
    </row>
    <row r="37">
      <c r="A37" s="7" t="inlineStr">
        <is>
          <t>Убыток делится с площадкой? (Да/Нет)</t>
        </is>
      </c>
      <c r="B37" s="23" t="inlineStr">
        <is>
          <t>Нет</t>
        </is>
      </c>
      <c r="C37" s="3" t="inlineStr">
        <is>
          <t>КРИТИЧНО: если «Нет» — весь убыток на вас. Пропишите это в договоре явно</t>
        </is>
      </c>
      <c r="D37" s="4" t="n"/>
      <c r="E37" s="4" t="n"/>
      <c r="F37" s="4" t="n"/>
      <c r="G37" s="4" t="n"/>
      <c r="H37" s="4" t="n"/>
    </row>
    <row r="38">
      <c r="A38" s="7" t="inlineStr">
        <is>
          <t>Доп. доходы участвуют в разделе? (Да/Нет)</t>
        </is>
      </c>
      <c r="B38" s="23" t="inlineStr">
        <is>
          <t>Нет</t>
        </is>
      </c>
      <c r="C38" s="3" t="inlineStr">
        <is>
          <t>Мерч, спонсорство, донаты — обычно остаются у организатора целиком</t>
        </is>
      </c>
      <c r="D38" s="4" t="n"/>
      <c r="E38" s="4" t="n"/>
      <c r="F38" s="4" t="n"/>
      <c r="G38" s="4" t="n"/>
      <c r="H38" s="4" t="n"/>
    </row>
    <row r="39">
      <c r="A39" s="4" t="n"/>
      <c r="B39" s="4" t="n"/>
      <c r="C39" s="4" t="n"/>
      <c r="D39" s="4" t="n"/>
      <c r="E39" s="4" t="n"/>
      <c r="F39" s="4" t="n"/>
      <c r="G39" s="4" t="n"/>
      <c r="H39" s="4" t="n"/>
    </row>
    <row r="40" ht="20" customHeight="1">
      <c r="A40" s="8" t="inlineStr">
        <is>
          <t>6. ПРОЧЕЕ</t>
        </is>
      </c>
      <c r="B40" s="9" t="n"/>
      <c r="C40" s="9" t="n"/>
      <c r="D40" s="9" t="n"/>
      <c r="E40" s="9" t="n"/>
      <c r="F40" s="9" t="n"/>
      <c r="G40" s="9" t="n"/>
      <c r="H40" s="9" t="n"/>
    </row>
    <row r="41">
      <c r="A41" s="7" t="inlineStr">
        <is>
          <t>Переменные расходы на гостя, ₽</t>
        </is>
      </c>
      <c r="B41" s="31" t="n">
        <v>60</v>
      </c>
      <c r="C41" s="3" t="inlineStr">
        <is>
          <t>Браслет, печать билета, гардеробный номерок, вода</t>
        </is>
      </c>
      <c r="D41" s="4" t="n"/>
      <c r="E41" s="4" t="n"/>
      <c r="F41" s="4" t="n"/>
      <c r="G41" s="4" t="n"/>
      <c r="H41" s="4" t="n"/>
    </row>
    <row r="42">
      <c r="A42" s="7" t="inlineStr">
        <is>
          <t>Резерв на непредвиденное, % от сметы</t>
        </is>
      </c>
      <c r="B42" s="25" t="n">
        <v>0.1</v>
      </c>
      <c r="C42" s="3" t="inlineStr">
        <is>
          <t>Ниже 10% ставить не рекомендую — всегда вылезает что-то неучтённое</t>
        </is>
      </c>
      <c r="D42" s="4" t="n"/>
      <c r="E42" s="4" t="n"/>
      <c r="F42" s="4" t="n"/>
      <c r="G42" s="4" t="n"/>
      <c r="H42" s="4" t="n"/>
    </row>
  </sheetData>
  <dataValidations count="2">
    <dataValidation sqref="B37" showDropDown="0" showInputMessage="0" showErrorMessage="0" allowBlank="0" type="list">
      <formula1>"Да,Нет"</formula1>
    </dataValidation>
    <dataValidation sqref="B38" showDropDown="0" showInputMessage="0" showErrorMessage="0" allowBlank="0" type="list">
      <formula1>"Да,Нет"</formula1>
    </dataValidation>
  </dataValidations>
  <pageMargins left="0.75" right="0.75" top="1" bottom="1" header="0.5" footer="0.5"/>
  <pageSetup orientation="landscape"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H32"/>
  <sheetViews>
    <sheetView workbookViewId="0">
      <pane ySplit="5" topLeftCell="A6" activePane="bottomLeft" state="frozen"/>
      <selection pane="bottomLeft" activeCell="A1" sqref="A1"/>
    </sheetView>
  </sheetViews>
  <sheetFormatPr baseColWidth="8" defaultRowHeight="15"/>
  <cols>
    <col width="40" customWidth="1" min="1" max="1"/>
    <col width="13" customWidth="1" min="2" max="2"/>
    <col width="12" customWidth="1" min="3" max="3"/>
    <col width="14" customWidth="1" min="4" max="4"/>
    <col width="12" customWidth="1" min="5" max="5"/>
    <col width="16" customWidth="1" min="6" max="6"/>
    <col width="11" customWidth="1" min="7" max="7"/>
    <col width="56" customWidth="1" min="8" max="8"/>
  </cols>
  <sheetData>
    <row r="1" ht="30" customHeight="1">
      <c r="A1" s="1" t="inlineStr">
        <is>
          <t>БИЛЕТНАЯ МАТРИЦА И ДОПОЛНИТЕЛЬНЫЕ ДОХОДЫ</t>
        </is>
      </c>
      <c r="B1" s="2" t="n"/>
      <c r="C1" s="2" t="n"/>
      <c r="D1" s="2" t="n"/>
      <c r="E1" s="2" t="n"/>
      <c r="F1" s="2" t="n"/>
      <c r="G1" s="2" t="n"/>
      <c r="H1" s="2" t="n"/>
    </row>
    <row r="2">
      <c r="A2" s="3" t="inlineStr">
        <is>
          <t>Базовый сценарий строится именно здесь: задайте цены, квоты мест и ожидаемый процент продажи по каждой категории.</t>
        </is>
      </c>
      <c r="B2" s="4" t="n"/>
      <c r="C2" s="4" t="n"/>
      <c r="D2" s="4" t="n"/>
      <c r="E2" s="4" t="n"/>
      <c r="F2" s="4" t="n"/>
      <c r="G2" s="4" t="n"/>
      <c r="H2" s="4" t="n"/>
    </row>
    <row r="3">
      <c r="A3" s="4" t="n"/>
      <c r="B3" s="4" t="n"/>
      <c r="C3" s="4" t="n"/>
      <c r="D3" s="4" t="n"/>
      <c r="E3" s="4" t="n"/>
      <c r="F3" s="4" t="n"/>
      <c r="G3" s="4" t="n"/>
      <c r="H3" s="4" t="n"/>
    </row>
    <row r="4" ht="20" customHeight="1">
      <c r="A4" s="8" t="inlineStr">
        <is>
          <t>СТРУКТУРА БИЛЕТОВ</t>
        </is>
      </c>
      <c r="B4" s="9" t="n"/>
      <c r="C4" s="9" t="n"/>
      <c r="D4" s="9" t="n"/>
      <c r="E4" s="9" t="n"/>
      <c r="F4" s="9" t="n"/>
      <c r="G4" s="9" t="n"/>
      <c r="H4" s="9" t="n"/>
    </row>
    <row r="5" ht="30" customHeight="1">
      <c r="A5" s="32" t="inlineStr">
        <is>
          <t>Категория билета</t>
        </is>
      </c>
      <c r="B5" s="32" t="inlineStr">
        <is>
          <t>Цена, ₽</t>
        </is>
      </c>
      <c r="C5" s="32" t="inlineStr">
        <is>
          <t>Квота, мест</t>
        </is>
      </c>
      <c r="D5" s="32" t="inlineStr">
        <is>
          <t>Ожид. продажа, %</t>
        </is>
      </c>
      <c r="E5" s="32" t="inlineStr">
        <is>
          <t>Продано, шт</t>
        </is>
      </c>
      <c r="F5" s="32" t="inlineStr">
        <is>
          <t>Валовой сбор, ₽</t>
        </is>
      </c>
      <c r="G5" s="32" t="inlineStr">
        <is>
          <t>Доля в сборе</t>
        </is>
      </c>
      <c r="H5" s="32" t="inlineStr">
        <is>
          <t>Комментарий</t>
        </is>
      </c>
    </row>
    <row r="6">
      <c r="A6" s="33" t="inlineStr">
        <is>
          <t>Ранняя пташка (early bird)</t>
        </is>
      </c>
      <c r="B6" s="31" t="n">
        <v>1800</v>
      </c>
      <c r="C6" s="24" t="n">
        <v>60</v>
      </c>
      <c r="D6" s="25" t="n">
        <v>0.95</v>
      </c>
      <c r="E6" s="34">
        <f>ROUND(C6*D6,0)</f>
        <v/>
      </c>
      <c r="F6" s="35">
        <f>B6*E6</f>
        <v/>
      </c>
      <c r="G6" s="36">
        <f>IFERROR(F6/$F$12,0)</f>
        <v/>
      </c>
      <c r="H6" s="37" t="inlineStr">
        <is>
          <t>Первые 2 недели, ограниченная квота. Даёт ранний денежный поток на маркетинг</t>
        </is>
      </c>
    </row>
    <row r="7">
      <c r="A7" s="33" t="inlineStr">
        <is>
          <t>Стандарт (предпродажа)</t>
        </is>
      </c>
      <c r="B7" s="31" t="n">
        <v>2500</v>
      </c>
      <c r="C7" s="24" t="n">
        <v>150</v>
      </c>
      <c r="D7" s="25" t="n">
        <v>0.6</v>
      </c>
      <c r="E7" s="34">
        <f>ROUND(C7*D7,0)</f>
        <v/>
      </c>
      <c r="F7" s="35">
        <f>B7*E7</f>
        <v/>
      </c>
      <c r="G7" s="36">
        <f>IFERROR(F7/$F$12,0)</f>
        <v/>
      </c>
      <c r="H7" s="37" t="inlineStr">
        <is>
          <t>Основная квота зала</t>
        </is>
      </c>
    </row>
    <row r="8">
      <c r="A8" s="33" t="inlineStr">
        <is>
          <t>Стандарт (на входе, в день концерта)</t>
        </is>
      </c>
      <c r="B8" s="31" t="n">
        <v>2800</v>
      </c>
      <c r="C8" s="24" t="n">
        <v>40</v>
      </c>
      <c r="D8" s="25" t="n">
        <v>0.5</v>
      </c>
      <c r="E8" s="34">
        <f>ROUND(C8*D8,0)</f>
        <v/>
      </c>
      <c r="F8" s="35">
        <f>B8*E8</f>
        <v/>
      </c>
      <c r="G8" s="36">
        <f>IFERROR(F8/$F$12,0)</f>
        <v/>
      </c>
      <c r="H8" s="37" t="inlineStr">
        <is>
          <t>Цена на входе выше — это стимул покупать заранее</t>
        </is>
      </c>
    </row>
    <row r="9">
      <c r="A9" s="33" t="inlineStr">
        <is>
          <t>Фан-зона у сцены / VIP</t>
        </is>
      </c>
      <c r="B9" s="31" t="n">
        <v>4000</v>
      </c>
      <c r="C9" s="24" t="n">
        <v>30</v>
      </c>
      <c r="D9" s="25" t="n">
        <v>0.6</v>
      </c>
      <c r="E9" s="34">
        <f>ROUND(C9*D9,0)</f>
        <v/>
      </c>
      <c r="F9" s="35">
        <f>B9*E9</f>
        <v/>
      </c>
      <c r="G9" s="36">
        <f>IFERROR(F9/$F$12,0)</f>
        <v/>
      </c>
      <c r="H9" s="37" t="inlineStr">
        <is>
          <t>Первые ряды, отдельный вход, мерч в подарок</t>
        </is>
      </c>
    </row>
    <row r="10">
      <c r="A10" s="33" t="inlineStr">
        <is>
          <t>Льготный (студенты)</t>
        </is>
      </c>
      <c r="B10" s="31" t="n">
        <v>1500</v>
      </c>
      <c r="C10" s="24" t="n">
        <v>10</v>
      </c>
      <c r="D10" s="25" t="n">
        <v>0.7</v>
      </c>
      <c r="E10" s="34">
        <f>ROUND(C10*D10,0)</f>
        <v/>
      </c>
      <c r="F10" s="35">
        <f>B10*E10</f>
        <v/>
      </c>
      <c r="G10" s="36">
        <f>IFERROR(F10/$F$12,0)</f>
        <v/>
      </c>
      <c r="H10" s="37" t="inlineStr">
        <is>
          <t>Заполняет зал и даёт социальный охват</t>
        </is>
      </c>
    </row>
    <row r="11">
      <c r="A11" s="33" t="inlineStr">
        <is>
          <t>Промо, пресс, гости артиста</t>
        </is>
      </c>
      <c r="B11" s="31" t="n">
        <v>0</v>
      </c>
      <c r="C11" s="24" t="n">
        <v>10</v>
      </c>
      <c r="D11" s="25" t="n">
        <v>1</v>
      </c>
      <c r="E11" s="34">
        <f>ROUND(C11*D11,0)</f>
        <v/>
      </c>
      <c r="F11" s="35">
        <f>B11*E11</f>
        <v/>
      </c>
      <c r="G11" s="36">
        <f>IFERROR(F11/$F$12,0)</f>
        <v/>
      </c>
      <c r="H11" s="37" t="inlineStr">
        <is>
          <t>Денег не приносят, но занимают места и создают переменные расходы</t>
        </is>
      </c>
    </row>
    <row r="12">
      <c r="A12" s="38" t="inlineStr">
        <is>
          <t>ИТОГО</t>
        </is>
      </c>
      <c r="B12" s="39" t="n"/>
      <c r="C12" s="40">
        <f>SUM(C6:C11)</f>
        <v/>
      </c>
      <c r="D12" s="39" t="n"/>
      <c r="E12" s="40">
        <f>SUM(E6:E11)</f>
        <v/>
      </c>
      <c r="F12" s="41">
        <f>SUM(F6:F11)</f>
        <v/>
      </c>
      <c r="G12" s="29">
        <f>SUM(G6:G11)</f>
        <v/>
      </c>
      <c r="H12" s="39" t="n"/>
    </row>
    <row r="13">
      <c r="A13" s="4" t="n"/>
      <c r="B13" s="4" t="n"/>
      <c r="C13" s="4" t="n"/>
      <c r="D13" s="4" t="n"/>
      <c r="E13" s="4" t="n"/>
      <c r="F13" s="4" t="n"/>
      <c r="G13" s="4" t="n"/>
      <c r="H13" s="4" t="n"/>
    </row>
    <row r="14" ht="20" customHeight="1">
      <c r="A14" s="8" t="inlineStr">
        <is>
          <t>КОНТРОЛЬНЫЕ ПОКАЗАТЕЛИ</t>
        </is>
      </c>
      <c r="B14" s="9" t="n"/>
      <c r="C14" s="9" t="n"/>
      <c r="D14" s="9" t="n"/>
      <c r="E14" s="9" t="n"/>
      <c r="F14" s="9" t="n"/>
      <c r="G14" s="9" t="n"/>
      <c r="H14" s="9" t="n"/>
    </row>
    <row r="15">
      <c r="A15" s="7" t="inlineStr">
        <is>
          <t>Проверка: сумма квот = вместимость зала?</t>
        </is>
      </c>
      <c r="B15" s="42">
        <f>IF(Билеты!$C$12=Вводные!$B$12,"OK — квоты сходятся с залом","ВНИМАНИЕ: квоты ("&amp;Билеты!$C$12&amp;") ≠ вместимость ("&amp;Вводные!$B$12&amp;")")</f>
        <v/>
      </c>
      <c r="C15" s="4" t="n"/>
      <c r="D15" s="4" t="n"/>
      <c r="E15" s="4" t="n"/>
      <c r="F15" s="4" t="n"/>
      <c r="G15" s="4" t="n"/>
      <c r="H15" s="4" t="n"/>
    </row>
    <row r="16">
      <c r="A16" s="7" t="inlineStr">
        <is>
          <t>Продано билетов всего, шт</t>
        </is>
      </c>
      <c r="B16" s="43">
        <f>Билеты!$E$12</f>
        <v/>
      </c>
      <c r="C16" s="4" t="n"/>
      <c r="D16" s="4" t="n"/>
      <c r="E16" s="4" t="n"/>
      <c r="F16" s="4" t="n"/>
      <c r="G16" s="4" t="n"/>
      <c r="H16" s="4" t="n"/>
    </row>
    <row r="17">
      <c r="A17" s="7" t="inlineStr">
        <is>
          <t xml:space="preserve">   в т.ч. платных, шт</t>
        </is>
      </c>
      <c r="B17" s="44">
        <f>SUMIF(B6:B11,"&gt;0",E6:E11)</f>
        <v/>
      </c>
      <c r="C17" s="4" t="n"/>
      <c r="D17" s="4" t="n"/>
      <c r="E17" s="4" t="n"/>
      <c r="F17" s="4" t="n"/>
      <c r="G17" s="4" t="n"/>
      <c r="H17" s="4" t="n"/>
    </row>
    <row r="18">
      <c r="A18" s="7" t="inlineStr">
        <is>
          <t xml:space="preserve">   в т.ч. бесплатных (промо, пресс), шт</t>
        </is>
      </c>
      <c r="B18" s="44">
        <f>Билеты!$E$12-Билеты!$B$17</f>
        <v/>
      </c>
      <c r="C18" s="4" t="n"/>
      <c r="D18" s="4" t="n"/>
      <c r="E18" s="4" t="n"/>
      <c r="F18" s="4" t="n"/>
      <c r="G18" s="4" t="n"/>
      <c r="H18" s="4" t="n"/>
    </row>
    <row r="19">
      <c r="A19" s="7" t="inlineStr">
        <is>
          <t>Валовой сбор (box office), ₽</t>
        </is>
      </c>
      <c r="B19" s="45">
        <f>Билеты!$F$12</f>
        <v/>
      </c>
      <c r="C19" s="4" t="n"/>
      <c r="D19" s="4" t="n"/>
      <c r="E19" s="4" t="n"/>
      <c r="F19" s="4" t="n"/>
      <c r="G19" s="4" t="n"/>
      <c r="H19" s="4" t="n"/>
    </row>
    <row r="20">
      <c r="A20" s="7" t="inlineStr">
        <is>
          <t>Средняя цена платного билета, ₽</t>
        </is>
      </c>
      <c r="B20" s="46">
        <f>IFERROR(Билеты!$F$12/Билеты!$B$17,0)</f>
        <v/>
      </c>
      <c r="C20" s="4" t="n"/>
      <c r="D20" s="4" t="n"/>
      <c r="E20" s="4" t="n"/>
      <c r="F20" s="4" t="n"/>
      <c r="G20" s="4" t="n"/>
      <c r="H20" s="4" t="n"/>
    </row>
    <row r="21">
      <c r="A21" s="7" t="inlineStr">
        <is>
          <t>Доход на одно место зала (yield), ₽</t>
        </is>
      </c>
      <c r="B21" s="46">
        <f>IFERROR(Билеты!$F$12/Вводные!$B$12,0)</f>
        <v/>
      </c>
      <c r="C21" s="3" t="inlineStr">
        <is>
          <t>Ключевая метрика для сравнения площадок и форматов</t>
        </is>
      </c>
      <c r="D21" s="4" t="n"/>
      <c r="E21" s="4" t="n"/>
      <c r="F21" s="4" t="n"/>
      <c r="G21" s="4" t="n"/>
      <c r="H21" s="4" t="n"/>
    </row>
    <row r="22">
      <c r="A22" s="7" t="inlineStr">
        <is>
          <t>Фактическая заполняемость зала, %</t>
        </is>
      </c>
      <c r="B22" s="30">
        <f>IFERROR(Билеты!$E$12/Вводные!$B$12,0)</f>
        <v/>
      </c>
      <c r="C22" s="4" t="n"/>
      <c r="D22" s="4" t="n"/>
      <c r="E22" s="4" t="n"/>
      <c r="F22" s="4" t="n"/>
      <c r="G22" s="4" t="n"/>
      <c r="H22" s="4" t="n"/>
    </row>
    <row r="23">
      <c r="A23" s="7" t="inlineStr">
        <is>
          <t>Доля платных билетов от всех проходов, %</t>
        </is>
      </c>
      <c r="B23" s="30">
        <f>IFERROR(Билеты!$B$17/Билеты!$E$12,0)</f>
        <v/>
      </c>
      <c r="C23" s="4" t="n"/>
      <c r="D23" s="4" t="n"/>
      <c r="E23" s="4" t="n"/>
      <c r="F23" s="4" t="n"/>
      <c r="G23" s="4" t="n"/>
      <c r="H23" s="4" t="n"/>
    </row>
    <row r="24">
      <c r="A24" s="4" t="n"/>
      <c r="B24" s="4" t="n"/>
      <c r="C24" s="4" t="n"/>
      <c r="D24" s="4" t="n"/>
      <c r="E24" s="4" t="n"/>
      <c r="F24" s="4" t="n"/>
      <c r="G24" s="4" t="n"/>
      <c r="H24" s="4" t="n"/>
    </row>
    <row r="25" ht="20" customHeight="1">
      <c r="A25" s="8" t="inlineStr">
        <is>
          <t>ДОПОЛНИТЕЛЬНЫЕ ДОХОДЫ (не билетные)</t>
        </is>
      </c>
      <c r="B25" s="9" t="n"/>
      <c r="C25" s="9" t="n"/>
      <c r="D25" s="9" t="n"/>
      <c r="E25" s="9" t="n"/>
      <c r="F25" s="9" t="n"/>
      <c r="G25" s="9" t="n"/>
      <c r="H25" s="9" t="n"/>
    </row>
    <row r="26" ht="30" customHeight="1">
      <c r="A26" s="32" t="inlineStr">
        <is>
          <t>Источник дохода</t>
        </is>
      </c>
      <c r="B26" s="32" t="inlineStr">
        <is>
          <t>База (шт / ₽)</t>
        </is>
      </c>
      <c r="C26" s="32" t="inlineStr">
        <is>
          <t>Ставка, чек, ₽</t>
        </is>
      </c>
      <c r="D26" s="32" t="inlineStr">
        <is>
          <t>Маржа / доля, %</t>
        </is>
      </c>
      <c r="E26" s="32" t="inlineStr">
        <is>
          <t>Доход, ₽</t>
        </is>
      </c>
      <c r="F26" s="32" t="inlineStr"/>
      <c r="G26" s="32" t="inlineStr"/>
      <c r="H26" s="32" t="inlineStr">
        <is>
          <t>Комментарий</t>
        </is>
      </c>
    </row>
    <row r="27">
      <c r="A27" s="33" t="inlineStr">
        <is>
          <t>Мерч: футболки, винил, значки</t>
        </is>
      </c>
      <c r="B27" s="24" t="n">
        <v>30</v>
      </c>
      <c r="C27" s="31" t="n">
        <v>2000</v>
      </c>
      <c r="D27" s="25" t="n">
        <v>0.55</v>
      </c>
      <c r="E27" s="47">
        <f>B27*C27*D27</f>
        <v/>
      </c>
      <c r="F27" s="18" t="n"/>
      <c r="G27" s="18" t="n"/>
      <c r="H27" s="37" t="inlineStr">
        <is>
          <t>Конверсия в мерч 10–20% зала. Продаётся до концерта и на выходе</t>
        </is>
      </c>
    </row>
    <row r="28">
      <c r="A28" s="33" t="inlineStr">
        <is>
          <t>Доля от выручки бара</t>
        </is>
      </c>
      <c r="B28" s="24" t="n">
        <v>1</v>
      </c>
      <c r="C28" s="31" t="n">
        <v>250000</v>
      </c>
      <c r="D28" s="25" t="n">
        <v>0.1</v>
      </c>
      <c r="E28" s="47">
        <f>B28*C28*D28</f>
        <v/>
      </c>
      <c r="F28" s="18" t="n"/>
      <c r="G28" s="18" t="n"/>
      <c r="H28" s="37" t="inlineStr">
        <is>
          <t>Часто 10–20% бара. Обязательно прописать в договоре с площадкой</t>
        </is>
      </c>
    </row>
    <row r="29">
      <c r="A29" s="33" t="inlineStr">
        <is>
          <t>Спонсорский пакет / партнёр</t>
        </is>
      </c>
      <c r="B29" s="24" t="n">
        <v>1</v>
      </c>
      <c r="C29" s="31" t="n">
        <v>0</v>
      </c>
      <c r="D29" s="25" t="n">
        <v>1</v>
      </c>
      <c r="E29" s="47">
        <f>B29*C29*D29</f>
        <v/>
      </c>
      <c r="F29" s="18" t="n"/>
      <c r="G29" s="18" t="n"/>
      <c r="H29" s="37" t="inlineStr">
        <is>
          <t>Поставьте сумму, если есть партнёр. Самый недооценённый источник — см. лист «Варианты»</t>
        </is>
      </c>
    </row>
    <row r="30">
      <c r="A30" s="33" t="inlineStr">
        <is>
          <t>Донаты, краудфандинг, предзаказ</t>
        </is>
      </c>
      <c r="B30" s="24" t="n">
        <v>1</v>
      </c>
      <c r="C30" s="31" t="n">
        <v>0</v>
      </c>
      <c r="D30" s="25" t="n">
        <v>1</v>
      </c>
      <c r="E30" s="47">
        <f>B30*C30*D30</f>
        <v/>
      </c>
      <c r="F30" s="18" t="n"/>
      <c r="G30" s="18" t="n"/>
      <c r="H30" s="37" t="inlineStr">
        <is>
          <t>Сбор до концерта закрывает кассовый разрыв на предоплаты</t>
        </is>
      </c>
    </row>
    <row r="31">
      <c r="A31" s="33" t="inlineStr">
        <is>
          <t>Съёмка концерта: релиз, стриминг</t>
        </is>
      </c>
      <c r="B31" s="24" t="n">
        <v>1</v>
      </c>
      <c r="C31" s="31" t="n">
        <v>0</v>
      </c>
      <c r="D31" s="25" t="n">
        <v>1</v>
      </c>
      <c r="E31" s="47">
        <f>B31*C31*D31</f>
        <v/>
      </c>
      <c r="F31" s="18" t="n"/>
      <c r="G31" s="18" t="n"/>
      <c r="H31" s="37" t="inlineStr">
        <is>
          <t>Доход приходит после события — учитывайте отдельно по срокам</t>
        </is>
      </c>
    </row>
    <row r="32">
      <c r="A32" s="38" t="inlineStr">
        <is>
          <t>ИТОГО дополнительных доходов</t>
        </is>
      </c>
      <c r="B32" s="39" t="n"/>
      <c r="C32" s="39" t="n"/>
      <c r="D32" s="39" t="n"/>
      <c r="E32" s="41">
        <f>SUM(E27:E31)</f>
        <v/>
      </c>
      <c r="F32" s="39" t="n"/>
      <c r="G32" s="39" t="n"/>
      <c r="H32" s="39" t="n"/>
    </row>
  </sheetData>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H25"/>
  <sheetViews>
    <sheetView workbookViewId="0">
      <pane ySplit="5" topLeftCell="A6" activePane="bottomLeft" state="frozen"/>
      <selection pane="bottomLeft" activeCell="A1" sqref="A1"/>
    </sheetView>
  </sheetViews>
  <sheetFormatPr baseColWidth="8" defaultRowHeight="15"/>
  <cols>
    <col width="40" customWidth="1" min="1" max="1"/>
    <col width="14" customWidth="1" min="2" max="2"/>
    <col width="14" customWidth="1" min="3" max="3"/>
    <col width="13" customWidth="1" min="4" max="4"/>
    <col width="14" customWidth="1" min="5" max="5"/>
    <col width="14" customWidth="1" min="6" max="6"/>
    <col width="14" customWidth="1" min="7" max="7"/>
    <col width="54" customWidth="1" min="8" max="8"/>
  </cols>
  <sheetData>
    <row r="1" ht="30" customHeight="1">
      <c r="A1" s="1" t="inlineStr">
        <is>
          <t>МАРКЕТИНГ И PR: БЮДЖЕТ, ВОРОНКА, СТОИМОСТЬ БИЛЕТА</t>
        </is>
      </c>
      <c r="B1" s="2" t="n"/>
      <c r="C1" s="2" t="n"/>
      <c r="D1" s="2" t="n"/>
      <c r="E1" s="2" t="n"/>
      <c r="F1" s="2" t="n"/>
      <c r="G1" s="2" t="n"/>
      <c r="H1" s="2" t="n"/>
    </row>
    <row r="2">
      <c r="A2" s="3" t="inlineStr">
        <is>
          <t>Каждый канал считается до билета: охват → отклик → покупка. Так видно, какой канал реально продаёт, а какой только тратит.</t>
        </is>
      </c>
      <c r="B2" s="4" t="n"/>
      <c r="C2" s="4" t="n"/>
      <c r="D2" s="4" t="n"/>
      <c r="E2" s="4" t="n"/>
      <c r="F2" s="4" t="n"/>
      <c r="G2" s="4" t="n"/>
      <c r="H2" s="4" t="n"/>
    </row>
    <row r="3">
      <c r="A3" s="4" t="n"/>
      <c r="B3" s="4" t="n"/>
      <c r="C3" s="4" t="n"/>
      <c r="D3" s="4" t="n"/>
      <c r="E3" s="4" t="n"/>
      <c r="F3" s="4" t="n"/>
      <c r="G3" s="4" t="n"/>
      <c r="H3" s="4" t="n"/>
    </row>
    <row r="4" ht="20" customHeight="1">
      <c r="A4" s="8" t="inlineStr">
        <is>
          <t>КАНАЛЫ ПРОДВИЖЕНИЯ</t>
        </is>
      </c>
      <c r="B4" s="9" t="n"/>
      <c r="C4" s="9" t="n"/>
      <c r="D4" s="9" t="n"/>
      <c r="E4" s="9" t="n"/>
      <c r="F4" s="9" t="n"/>
      <c r="G4" s="9" t="n"/>
      <c r="H4" s="9" t="n"/>
    </row>
    <row r="5" ht="30" customHeight="1">
      <c r="A5" s="32" t="inlineStr">
        <is>
          <t>Канал</t>
        </is>
      </c>
      <c r="B5" s="32" t="inlineStr">
        <is>
          <t>Бюджет, ₽</t>
        </is>
      </c>
      <c r="C5" s="32" t="inlineStr">
        <is>
          <t>Прогноз охвата, чел.</t>
        </is>
      </c>
      <c r="D5" s="32" t="inlineStr">
        <is>
          <t>Отклик (CTR), %</t>
        </is>
      </c>
      <c r="E5" s="32" t="inlineStr">
        <is>
          <t>Конверсия в покупку, %</t>
        </is>
      </c>
      <c r="F5" s="32" t="inlineStr">
        <is>
          <t>Прогноз билетов, шт</t>
        </is>
      </c>
      <c r="G5" s="32" t="inlineStr">
        <is>
          <t>CPA, ₽ за билет</t>
        </is>
      </c>
      <c r="H5" s="32" t="inlineStr">
        <is>
          <t>Комментарий</t>
        </is>
      </c>
    </row>
    <row r="6">
      <c r="A6" s="33" t="inlineStr">
        <is>
          <t>Таргетированная реклама VK</t>
        </is>
      </c>
      <c r="B6" s="31" t="n">
        <v>25000</v>
      </c>
      <c r="C6" s="24" t="n">
        <v>120000</v>
      </c>
      <c r="D6" s="48" t="n">
        <v>0.012</v>
      </c>
      <c r="E6" s="48" t="n">
        <v>0.03</v>
      </c>
      <c r="F6" s="49">
        <f>ROUND(C6*D6*E6,0)</f>
        <v/>
      </c>
      <c r="G6" s="47">
        <f>IFERROR(B6/F6,0)</f>
        <v/>
      </c>
      <c r="H6" s="37" t="inlineStr">
        <is>
          <t>Основной платный канал в РФ. Гео + интересы + look-alike по базе</t>
        </is>
      </c>
    </row>
    <row r="7">
      <c r="A7" s="33" t="inlineStr">
        <is>
          <t>Посевы в Telegram-каналах</t>
        </is>
      </c>
      <c r="B7" s="31" t="n">
        <v>20000</v>
      </c>
      <c r="C7" s="24" t="n">
        <v>60000</v>
      </c>
      <c r="D7" s="48" t="n">
        <v>0.02</v>
      </c>
      <c r="E7" s="48" t="n">
        <v>0.04</v>
      </c>
      <c r="F7" s="49">
        <f>ROUND(C7*D7*E7,0)</f>
        <v/>
      </c>
      <c r="G7" s="47">
        <f>IFERROR(B7/F7,0)</f>
        <v/>
      </c>
      <c r="H7" s="37" t="inlineStr">
        <is>
          <t>Городские и жанровые каналы. Просите статистику охватов до оплаты</t>
        </is>
      </c>
    </row>
    <row r="8">
      <c r="A8" s="33" t="inlineStr">
        <is>
          <t>Блогеры и лидеры мнений</t>
        </is>
      </c>
      <c r="B8" s="31" t="n">
        <v>15000</v>
      </c>
      <c r="C8" s="24" t="n">
        <v>40000</v>
      </c>
      <c r="D8" s="48" t="n">
        <v>0.025</v>
      </c>
      <c r="E8" s="48" t="n">
        <v>0.035</v>
      </c>
      <c r="F8" s="49">
        <f>ROUND(C8*D8*E8,0)</f>
        <v/>
      </c>
      <c r="G8" s="47">
        <f>IFERROR(B8/F8,0)</f>
        <v/>
      </c>
      <c r="H8" s="37" t="inlineStr">
        <is>
          <t>Часть работает по бартеру за билеты — снижает бюджет</t>
        </is>
      </c>
    </row>
    <row r="9">
      <c r="A9" s="33" t="inlineStr">
        <is>
          <t>Наружная реклама и расклейка афиш</t>
        </is>
      </c>
      <c r="B9" s="31" t="n">
        <v>10000</v>
      </c>
      <c r="C9" s="24" t="n">
        <v>30000</v>
      </c>
      <c r="D9" s="48" t="n">
        <v>0.005</v>
      </c>
      <c r="E9" s="48" t="n">
        <v>0.05</v>
      </c>
      <c r="F9" s="49">
        <f>ROUND(C9*D9*E9,0)</f>
        <v/>
      </c>
      <c r="G9" s="47">
        <f>IFERROR(B9/F9,0)</f>
        <v/>
      </c>
      <c r="H9" s="37" t="inlineStr">
        <is>
          <t>Работает на узнавание, плохо атрибутируется. Отдельный промокод обязателен</t>
        </is>
      </c>
    </row>
    <row r="10">
      <c r="A10" s="33" t="inlineStr">
        <is>
          <t>Городские афиши: Яндекс.Афиша, KudaGo</t>
        </is>
      </c>
      <c r="B10" s="31" t="n">
        <v>0</v>
      </c>
      <c r="C10" s="24" t="n">
        <v>25000</v>
      </c>
      <c r="D10" s="48" t="n">
        <v>0.01</v>
      </c>
      <c r="E10" s="48" t="n">
        <v>0.04</v>
      </c>
      <c r="F10" s="49">
        <f>ROUND(C10*D10*E10,0)</f>
        <v/>
      </c>
      <c r="G10" s="47">
        <f>IFERROR(B10/F10,0)</f>
        <v/>
      </c>
      <c r="H10" s="37" t="inlineStr">
        <is>
          <t>Бесплатное размещение. Подавать за 3–4 недели</t>
        </is>
      </c>
    </row>
    <row r="11">
      <c r="A11" s="33" t="inlineStr">
        <is>
          <t>PR: пресс-релиз, СМИ, интервью</t>
        </is>
      </c>
      <c r="B11" s="31" t="n">
        <v>8000</v>
      </c>
      <c r="C11" s="24" t="n">
        <v>20000</v>
      </c>
      <c r="D11" s="48" t="n">
        <v>0.01</v>
      </c>
      <c r="E11" s="48" t="n">
        <v>0.03</v>
      </c>
      <c r="F11" s="49">
        <f>ROUND(C11*D11*E11,0)</f>
        <v/>
      </c>
      <c r="G11" s="47">
        <f>IFERROR(B11/F11,0)</f>
        <v/>
      </c>
      <c r="H11" s="37" t="inlineStr">
        <is>
          <t>Даёт доверие и вторичные перепечатки, а не прямые продажи</t>
        </is>
      </c>
    </row>
    <row r="12">
      <c r="A12" s="33" t="inlineStr">
        <is>
          <t>Email и база подписчиков</t>
        </is>
      </c>
      <c r="B12" s="31" t="n">
        <v>2000</v>
      </c>
      <c r="C12" s="24" t="n">
        <v>5000</v>
      </c>
      <c r="D12" s="48" t="n">
        <v>0.12</v>
      </c>
      <c r="E12" s="48" t="n">
        <v>0.08</v>
      </c>
      <c r="F12" s="49">
        <f>ROUND(C12*D12*E12,0)</f>
        <v/>
      </c>
      <c r="G12" s="47">
        <f>IFERROR(B12/F12,0)</f>
        <v/>
      </c>
      <c r="H12" s="37" t="inlineStr">
        <is>
          <t>Самый дешёвый билет. Базу надо собирать с прошлых концертов</t>
        </is>
      </c>
    </row>
    <row r="13">
      <c r="A13" s="33" t="inlineStr">
        <is>
          <t>Продакшн контента: дизайн, тизер, фото</t>
        </is>
      </c>
      <c r="B13" s="31" t="n">
        <v>10000</v>
      </c>
      <c r="C13" s="24" t="n">
        <v>0</v>
      </c>
      <c r="D13" s="48" t="n">
        <v>0</v>
      </c>
      <c r="E13" s="48" t="n">
        <v>0</v>
      </c>
      <c r="F13" s="49">
        <f>ROUND(C13*D13*E13,0)</f>
        <v/>
      </c>
      <c r="G13" s="47">
        <f>IFERROR(B13/F13,0)</f>
        <v/>
      </c>
      <c r="H13" s="37" t="inlineStr">
        <is>
          <t>Не продаёт напрямую, но без него не работают все каналы выше</t>
        </is>
      </c>
    </row>
    <row r="14">
      <c r="A14" s="50" t="inlineStr">
        <is>
          <t>ИТОГО МАРКЕТИНГ И PR</t>
        </is>
      </c>
      <c r="B14" s="51">
        <f>SUM(B6:B13)</f>
        <v/>
      </c>
      <c r="C14" s="52">
        <f>SUM(C6:C13)</f>
        <v/>
      </c>
      <c r="D14" s="39" t="n"/>
      <c r="E14" s="39" t="n"/>
      <c r="F14" s="52">
        <f>SUM(F6:F13)</f>
        <v/>
      </c>
      <c r="G14" s="51">
        <f>IFERROR(B14/F14,0)</f>
        <v/>
      </c>
      <c r="H14" s="39" t="n"/>
    </row>
    <row r="15">
      <c r="A15" s="4" t="n"/>
      <c r="B15" s="4" t="n"/>
      <c r="C15" s="4" t="n"/>
      <c r="D15" s="4" t="n"/>
      <c r="E15" s="4" t="n"/>
      <c r="F15" s="4" t="n"/>
      <c r="G15" s="4" t="n"/>
      <c r="H15" s="4" t="n"/>
    </row>
    <row r="16" ht="20" customHeight="1">
      <c r="A16" s="8" t="inlineStr">
        <is>
          <t>ПРОВЕРКА ЗДОРОВЬЯ МАРКЕТИНГА</t>
        </is>
      </c>
      <c r="B16" s="9" t="n"/>
      <c r="C16" s="9" t="n"/>
      <c r="D16" s="9" t="n"/>
      <c r="E16" s="9" t="n"/>
      <c r="F16" s="9" t="n"/>
      <c r="G16" s="9" t="n"/>
      <c r="H16" s="9" t="n"/>
    </row>
    <row r="17">
      <c r="A17" s="7" t="inlineStr">
        <is>
          <t>Бюджет маркетинга и PR, ₽</t>
        </is>
      </c>
      <c r="B17" s="45">
        <f>Маркетинг!$B$14</f>
        <v/>
      </c>
      <c r="C17" s="4" t="n"/>
      <c r="D17" s="4" t="n"/>
      <c r="E17" s="4" t="n"/>
      <c r="F17" s="4" t="n"/>
      <c r="G17" s="4" t="n"/>
      <c r="H17" s="4" t="n"/>
    </row>
    <row r="18">
      <c r="A18" s="7" t="inlineStr">
        <is>
          <t>Прогноз билетов от маркетинга, шт</t>
        </is>
      </c>
      <c r="B18" s="43">
        <f>Маркетинг!$F$14</f>
        <v/>
      </c>
      <c r="C18" s="4" t="n"/>
      <c r="D18" s="4" t="n"/>
      <c r="E18" s="4" t="n"/>
      <c r="F18" s="4" t="n"/>
      <c r="G18" s="4" t="n"/>
      <c r="H18" s="4" t="n"/>
    </row>
    <row r="19">
      <c r="A19" s="7" t="inlineStr">
        <is>
          <t>План продаж по билетной матрице, шт</t>
        </is>
      </c>
      <c r="B19" s="43">
        <f>Билеты!$B$17</f>
        <v/>
      </c>
      <c r="C19" s="4" t="n"/>
      <c r="D19" s="4" t="n"/>
      <c r="E19" s="4" t="n"/>
      <c r="F19" s="4" t="n"/>
      <c r="G19" s="4" t="n"/>
      <c r="H19" s="4" t="n"/>
    </row>
    <row r="20">
      <c r="A20" s="7" t="inlineStr">
        <is>
          <t>Покрытие плана продаж маркетингом, %</t>
        </is>
      </c>
      <c r="B20" s="30">
        <f>IFERROR(Маркетинг!$F$14/Билеты!$B$17,0)</f>
        <v/>
      </c>
      <c r="C20" s="3" t="inlineStr">
        <is>
          <t>Ниже 100% — план продаж ничем не обеспечен. Выше 130% — можно снять часть бюджета</t>
        </is>
      </c>
      <c r="D20" s="4" t="n"/>
      <c r="E20" s="4" t="n"/>
      <c r="F20" s="4" t="n"/>
      <c r="G20" s="4" t="n"/>
      <c r="H20" s="4" t="n"/>
    </row>
    <row r="21">
      <c r="A21" s="7" t="inlineStr">
        <is>
          <t>Средний CPA (стоимость привлечения билета), ₽</t>
        </is>
      </c>
      <c r="B21" s="45">
        <f>Маркетинг!$G$14</f>
        <v/>
      </c>
      <c r="C21" s="4" t="n"/>
      <c r="D21" s="4" t="n"/>
      <c r="E21" s="4" t="n"/>
      <c r="F21" s="4" t="n"/>
      <c r="G21" s="4" t="n"/>
      <c r="H21" s="4" t="n"/>
    </row>
    <row r="22">
      <c r="A22" s="7" t="inlineStr">
        <is>
          <t>Средняя цена платного билета, ₽</t>
        </is>
      </c>
      <c r="B22" s="45">
        <f>Билеты!$B$20</f>
        <v/>
      </c>
      <c r="C22" s="4" t="n"/>
      <c r="D22" s="4" t="n"/>
      <c r="E22" s="4" t="n"/>
      <c r="F22" s="4" t="n"/>
      <c r="G22" s="4" t="n"/>
      <c r="H22" s="4" t="n"/>
    </row>
    <row r="23">
      <c r="A23" s="7" t="inlineStr">
        <is>
          <t>CPA к цене билета, %</t>
        </is>
      </c>
      <c r="B23" s="30">
        <f>IFERROR(Маркетинг!$G$14/Билеты!$B$20,0)</f>
        <v/>
      </c>
      <c r="C23" s="3" t="inlineStr">
        <is>
          <t>Здоровый диапазон — до 25%. Выше 35% — канальная модель не сходится</t>
        </is>
      </c>
      <c r="D23" s="4" t="n"/>
      <c r="E23" s="4" t="n"/>
      <c r="F23" s="4" t="n"/>
      <c r="G23" s="4" t="n"/>
      <c r="H23" s="4" t="n"/>
    </row>
    <row r="24">
      <c r="A24" s="7" t="inlineStr">
        <is>
          <t>Доля маркетинга в валовом сборе, %</t>
        </is>
      </c>
      <c r="B24" s="30">
        <f>IFERROR(Маркетинг!$B$14/Билеты!$F$12,0)</f>
        <v/>
      </c>
      <c r="C24" s="3" t="inlineStr">
        <is>
          <t>Ориентир для клубного концерта — 10–15%. Выше 20% — бюджет съедает прибыль</t>
        </is>
      </c>
      <c r="D24" s="4" t="n"/>
      <c r="E24" s="4" t="n"/>
      <c r="F24" s="4" t="n"/>
      <c r="G24" s="4" t="n"/>
      <c r="H24" s="4" t="n"/>
    </row>
    <row r="25">
      <c r="A25" s="7" t="inlineStr">
        <is>
          <t>Вердикт</t>
        </is>
      </c>
      <c r="B25" s="42">
        <f>IF(Маркетинг!$B$24&gt;0.2,"ПЕРЕРАСХОД: маркетинг забирает больше 20% сбора",IF(Маркетинг!$B$20&lt;1,"РИСК: маркетинг не покрывает план продаж","Норма: бюджет и план продаж сбалансированы"))</f>
        <v/>
      </c>
      <c r="C25" s="4" t="n"/>
      <c r="D25" s="4" t="n"/>
      <c r="E25" s="4" t="n"/>
      <c r="F25" s="4" t="n"/>
      <c r="G25" s="4" t="n"/>
      <c r="H25" s="4" t="n"/>
    </row>
  </sheetData>
  <conditionalFormatting sqref="B25">
    <cfRule type="expression" priority="1" dxfId="0">
      <formula>$B$25&lt;&gt;"Норма: бюджет и план продаж сбалансированы"</formula>
    </cfRule>
  </conditionalFormatting>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H60"/>
  <sheetViews>
    <sheetView workbookViewId="0">
      <pane ySplit="4" topLeftCell="A5" activePane="bottomLeft" state="frozen"/>
      <selection pane="bottomLeft" activeCell="A1" sqref="A1"/>
    </sheetView>
  </sheetViews>
  <sheetFormatPr baseColWidth="8" defaultRowHeight="15"/>
  <cols>
    <col width="44" customWidth="1" min="1" max="1"/>
    <col width="9" customWidth="1" min="2" max="2"/>
    <col width="10" customWidth="1" min="3" max="3"/>
    <col width="15" customWidth="1" min="4" max="4"/>
    <col width="16" customWidth="1" min="5" max="5"/>
    <col width="15" customWidth="1" min="6" max="6"/>
    <col width="58" customWidth="1" min="7" max="7"/>
  </cols>
  <sheetData>
    <row r="1" ht="30" customHeight="1">
      <c r="A1" s="1" t="inlineStr">
        <is>
          <t>СМЕТА РАСХОДОВ</t>
        </is>
      </c>
      <c r="B1" s="2" t="n"/>
      <c r="C1" s="2" t="n"/>
      <c r="D1" s="2" t="n"/>
      <c r="E1" s="2" t="n"/>
      <c r="F1" s="2" t="n"/>
      <c r="G1" s="2" t="n"/>
      <c r="H1" s="2" t="n"/>
    </row>
    <row r="2">
      <c r="A2" s="3" t="inlineStr">
        <is>
          <t>Столбец «Оплачивает» решает всё: строки со значением «Площадка» показаны по рыночной цене, но в ваши расходы не попадают. Так видно реальный вклад площадки в сделку 50/50.</t>
        </is>
      </c>
      <c r="B2" s="4" t="n"/>
      <c r="C2" s="4" t="n"/>
      <c r="D2" s="4" t="n"/>
      <c r="E2" s="4" t="n"/>
      <c r="F2" s="4" t="n"/>
      <c r="G2" s="4" t="n"/>
      <c r="H2" s="4" t="n"/>
    </row>
    <row r="3">
      <c r="A3" s="4" t="n"/>
      <c r="B3" s="4" t="n"/>
      <c r="C3" s="4" t="n"/>
      <c r="D3" s="4" t="n"/>
      <c r="E3" s="4" t="n"/>
      <c r="F3" s="4" t="n"/>
      <c r="G3" s="4" t="n"/>
      <c r="H3" s="4" t="n"/>
    </row>
    <row r="4" ht="30" customHeight="1">
      <c r="A4" s="32" t="inlineStr">
        <is>
          <t>Статья расхода</t>
        </is>
      </c>
      <c r="B4" s="32" t="inlineStr">
        <is>
          <t>Кол-во</t>
        </is>
      </c>
      <c r="C4" s="32" t="inlineStr">
        <is>
          <t>Ед.</t>
        </is>
      </c>
      <c r="D4" s="32" t="inlineStr">
        <is>
          <t>Цена за ед., ₽</t>
        </is>
      </c>
      <c r="E4" s="32" t="inlineStr">
        <is>
          <t>Сумма организатора, ₽</t>
        </is>
      </c>
      <c r="F4" s="32" t="inlineStr">
        <is>
          <t>Оплачивает</t>
        </is>
      </c>
      <c r="G4" s="32" t="inlineStr">
        <is>
          <t>Комментарий</t>
        </is>
      </c>
      <c r="H4" s="4" t="n"/>
    </row>
    <row r="5">
      <c r="A5" s="53" t="inlineStr">
        <is>
          <t>1. ПЛОЩАДКА И ТЕХНИЧЕСКОЕ ОБЕСПЕЧЕНИЕ</t>
        </is>
      </c>
      <c r="B5" s="54" t="n"/>
      <c r="C5" s="54" t="n"/>
      <c r="D5" s="54" t="n"/>
      <c r="E5" s="54" t="n"/>
      <c r="F5" s="54" t="n"/>
      <c r="G5" s="54" t="n"/>
      <c r="H5" s="4" t="n"/>
    </row>
    <row r="6">
      <c r="A6" s="55" t="inlineStr">
        <is>
          <t>Аренда зала (смена)</t>
        </is>
      </c>
      <c r="B6" s="24" t="n">
        <v>1</v>
      </c>
      <c r="C6" s="56" t="inlineStr">
        <is>
          <t>смена</t>
        </is>
      </c>
      <c r="D6" s="31" t="n">
        <v>60000</v>
      </c>
      <c r="E6" s="35">
        <f>IF($F6="Площадка",0,B6*D6)</f>
        <v/>
      </c>
      <c r="F6" s="57" t="inlineStr">
        <is>
          <t>Площадка</t>
        </is>
      </c>
      <c r="G6" s="37" t="inlineStr">
        <is>
          <t>При сделке 50/50 аренда не выставляется — это вклад площадки</t>
        </is>
      </c>
      <c r="H6" s="4" t="n"/>
    </row>
    <row r="7">
      <c r="A7" s="55" t="inlineStr">
        <is>
          <t>Доп. часы: монтаж и саундчек</t>
        </is>
      </c>
      <c r="B7" s="24" t="n">
        <v>4</v>
      </c>
      <c r="C7" s="56" t="inlineStr">
        <is>
          <t>час</t>
        </is>
      </c>
      <c r="D7" s="31" t="n">
        <v>5000</v>
      </c>
      <c r="E7" s="35">
        <f>IF($F7="Площадка",0,B7*D7)</f>
        <v/>
      </c>
      <c r="F7" s="57" t="inlineStr">
        <is>
          <t>Площадка</t>
        </is>
      </c>
      <c r="G7" s="37" t="inlineStr">
        <is>
          <t>Обычно входит в смену. Обязательно уточните в договоре</t>
        </is>
      </c>
      <c r="H7" s="4" t="n"/>
    </row>
    <row r="8">
      <c r="A8" s="55" t="inlineStr">
        <is>
          <t>Звуковой комплект PA</t>
        </is>
      </c>
      <c r="B8" s="24" t="n">
        <v>1</v>
      </c>
      <c r="C8" s="56" t="inlineStr">
        <is>
          <t>компл.</t>
        </is>
      </c>
      <c r="D8" s="31" t="n">
        <v>45000</v>
      </c>
      <c r="E8" s="35">
        <f>IF($F8="Площадка",0,B8*D8)</f>
        <v/>
      </c>
      <c r="F8" s="57" t="inlineStr">
        <is>
          <t>Площадка</t>
        </is>
      </c>
      <c r="G8" s="37" t="inlineStr">
        <is>
          <t>Штатный аппарат клуба</t>
        </is>
      </c>
      <c r="H8" s="4" t="n"/>
    </row>
    <row r="9">
      <c r="A9" s="55" t="inlineStr">
        <is>
          <t>Доп. микрофоны, радиосистемы, стойки</t>
        </is>
      </c>
      <c r="B9" s="24" t="n">
        <v>1</v>
      </c>
      <c r="C9" s="56" t="inlineStr">
        <is>
          <t>компл.</t>
        </is>
      </c>
      <c r="D9" s="31" t="n">
        <v>12000</v>
      </c>
      <c r="E9" s="35">
        <f>IF($F9="Площадка",0,B9*D9)</f>
        <v/>
      </c>
      <c r="F9" s="57" t="inlineStr">
        <is>
          <t>Организатор</t>
        </is>
      </c>
      <c r="G9" s="37" t="inlineStr">
        <is>
          <t>Под конкретный состав почти всегда докупается в аренду</t>
        </is>
      </c>
      <c r="H9" s="4" t="n"/>
    </row>
    <row r="10">
      <c r="A10" s="55" t="inlineStr">
        <is>
          <t>Мониторная линия / in-ear</t>
        </is>
      </c>
      <c r="B10" s="24" t="n">
        <v>1</v>
      </c>
      <c r="C10" s="56" t="inlineStr">
        <is>
          <t>компл.</t>
        </is>
      </c>
      <c r="D10" s="31" t="n">
        <v>15000</v>
      </c>
      <c r="E10" s="35">
        <f>IF($F10="Площадка",0,B10*D10)</f>
        <v/>
      </c>
      <c r="F10" s="57" t="inlineStr">
        <is>
          <t>Организатор</t>
        </is>
      </c>
      <c r="G10" s="37" t="inlineStr">
        <is>
          <t>Критично для качества исполнения на сцене</t>
        </is>
      </c>
      <c r="H10" s="4" t="n"/>
    </row>
    <row r="11">
      <c r="A11" s="55" t="inlineStr">
        <is>
          <t>Звукорежиссёр FOH (свой)</t>
        </is>
      </c>
      <c r="B11" s="24" t="n">
        <v>1</v>
      </c>
      <c r="C11" s="56" t="inlineStr">
        <is>
          <t>смена</t>
        </is>
      </c>
      <c r="D11" s="31" t="n">
        <v>20000</v>
      </c>
      <c r="E11" s="35">
        <f>IF($F11="Площадка",0,B11*D11)</f>
        <v/>
      </c>
      <c r="F11" s="57" t="inlineStr">
        <is>
          <t>Организатор</t>
        </is>
      </c>
      <c r="G11" s="37" t="inlineStr">
        <is>
          <t>Свой инженер — предсказуемый звук. Клубный — лотерея</t>
        </is>
      </c>
      <c r="H11" s="4" t="n"/>
    </row>
    <row r="12">
      <c r="A12" s="55" t="inlineStr">
        <is>
          <t>Мониторный инженер</t>
        </is>
      </c>
      <c r="B12" s="24" t="n">
        <v>1</v>
      </c>
      <c r="C12" s="56" t="inlineStr">
        <is>
          <t>смена</t>
        </is>
      </c>
      <c r="D12" s="31" t="n">
        <v>12000</v>
      </c>
      <c r="E12" s="35">
        <f>IF($F12="Площадка",0,B12*D12)</f>
        <v/>
      </c>
      <c r="F12" s="57" t="inlineStr">
        <is>
          <t>Площадка</t>
        </is>
      </c>
      <c r="G12" s="37" t="inlineStr">
        <is>
          <t>В клубе часто совмещается с FOH</t>
        </is>
      </c>
      <c r="H12" s="4" t="n"/>
    </row>
    <row r="13">
      <c r="A13" s="55" t="inlineStr">
        <is>
          <t>Световое оборудование</t>
        </is>
      </c>
      <c r="B13" s="24" t="n">
        <v>1</v>
      </c>
      <c r="C13" s="56" t="inlineStr">
        <is>
          <t>компл.</t>
        </is>
      </c>
      <c r="D13" s="31" t="n">
        <v>25000</v>
      </c>
      <c r="E13" s="35">
        <f>IF($F13="Площадка",0,B13*D13)</f>
        <v/>
      </c>
      <c r="F13" s="57" t="inlineStr">
        <is>
          <t>Площадка</t>
        </is>
      </c>
      <c r="G13" s="37" t="inlineStr">
        <is>
          <t>Штатный свет клуба</t>
        </is>
      </c>
      <c r="H13" s="4" t="n"/>
    </row>
    <row r="14">
      <c r="A14" s="55" t="inlineStr">
        <is>
          <t>Художник по свету / оператор</t>
        </is>
      </c>
      <c r="B14" s="24" t="n">
        <v>1</v>
      </c>
      <c r="C14" s="56" t="inlineStr">
        <is>
          <t>смена</t>
        </is>
      </c>
      <c r="D14" s="31" t="n">
        <v>12000</v>
      </c>
      <c r="E14" s="35">
        <f>IF($F14="Площадка",0,B14*D14)</f>
        <v/>
      </c>
      <c r="F14" s="57" t="inlineStr">
        <is>
          <t>Организатор</t>
        </is>
      </c>
      <c r="G14" s="37" t="inlineStr">
        <is>
          <t>Свет под программу, а не «дискотека по кнопке»</t>
        </is>
      </c>
      <c r="H14" s="4" t="n"/>
    </row>
    <row r="15">
      <c r="A15" s="55" t="inlineStr">
        <is>
          <t>Бэклайн: барабаны, усилители, клавиши</t>
        </is>
      </c>
      <c r="B15" s="24" t="n">
        <v>1</v>
      </c>
      <c r="C15" s="56" t="inlineStr">
        <is>
          <t>компл.</t>
        </is>
      </c>
      <c r="D15" s="31" t="n">
        <v>20000</v>
      </c>
      <c r="E15" s="35">
        <f>IF($F15="Площадка",0,B15*D15)</f>
        <v/>
      </c>
      <c r="F15" s="57" t="inlineStr">
        <is>
          <t>Организатор</t>
        </is>
      </c>
      <c r="G15" s="37" t="inlineStr">
        <is>
          <t>По техническому райдеру</t>
        </is>
      </c>
      <c r="H15" s="4" t="n"/>
    </row>
    <row r="16">
      <c r="A16" s="55" t="inlineStr">
        <is>
          <t>Экран, проекция, видеоконтент</t>
        </is>
      </c>
      <c r="B16" s="24" t="n">
        <v>0</v>
      </c>
      <c r="C16" s="56" t="inlineStr">
        <is>
          <t>компл.</t>
        </is>
      </c>
      <c r="D16" s="31" t="n">
        <v>18000</v>
      </c>
      <c r="E16" s="35">
        <f>IF($F16="Площадка",0,B16*D16)</f>
        <v/>
      </c>
      <c r="F16" s="57" t="inlineStr">
        <is>
          <t>Организатор</t>
        </is>
      </c>
      <c r="G16" s="37" t="inlineStr">
        <is>
          <t>Поставьте количество 1, если в программе есть видеоряд</t>
        </is>
      </c>
      <c r="H16" s="4" t="n"/>
    </row>
    <row r="17">
      <c r="A17" s="55" t="inlineStr">
        <is>
          <t>Электрика, кабели, распределение</t>
        </is>
      </c>
      <c r="B17" s="24" t="n">
        <v>1</v>
      </c>
      <c r="C17" s="56" t="inlineStr">
        <is>
          <t>компл.</t>
        </is>
      </c>
      <c r="D17" s="31" t="n">
        <v>5000</v>
      </c>
      <c r="E17" s="35">
        <f>IF($F17="Площадка",0,B17*D17)</f>
        <v/>
      </c>
      <c r="F17" s="57" t="inlineStr">
        <is>
          <t>Площадка</t>
        </is>
      </c>
      <c r="G17" s="37" t="inlineStr"/>
      <c r="H17" s="4" t="n"/>
    </row>
    <row r="18">
      <c r="A18" s="55" t="inlineStr">
        <is>
          <t>Монтаж, демонтаж, погрузка</t>
        </is>
      </c>
      <c r="B18" s="24" t="n">
        <v>3</v>
      </c>
      <c r="C18" s="56" t="inlineStr">
        <is>
          <t>чел.</t>
        </is>
      </c>
      <c r="D18" s="31" t="n">
        <v>4000</v>
      </c>
      <c r="E18" s="35">
        <f>IF($F18="Площадка",0,B18*D18)</f>
        <v/>
      </c>
      <c r="F18" s="57" t="inlineStr">
        <is>
          <t>Организатор</t>
        </is>
      </c>
      <c r="G18" s="37" t="inlineStr">
        <is>
          <t>Разгрузка и погрузка бэклайна</t>
        </is>
      </c>
      <c r="H18" s="4" t="n"/>
    </row>
    <row r="19">
      <c r="A19" s="38" t="inlineStr">
        <is>
          <t>Итого по блоку: Площадка и техническое обеспечение</t>
        </is>
      </c>
      <c r="B19" s="39" t="n"/>
      <c r="C19" s="39" t="n"/>
      <c r="D19" s="39" t="n"/>
      <c r="E19" s="41">
        <f>SUM(E6:E18)</f>
        <v/>
      </c>
      <c r="F19" s="39" t="n"/>
      <c r="G19" s="39" t="n"/>
      <c r="H19" s="4" t="n"/>
    </row>
    <row r="20">
      <c r="A20" s="4" t="n"/>
      <c r="B20" s="4" t="n"/>
      <c r="C20" s="4" t="n"/>
      <c r="D20" s="4" t="n"/>
      <c r="E20" s="4" t="n"/>
      <c r="F20" s="4" t="n"/>
      <c r="G20" s="4" t="n"/>
      <c r="H20" s="4" t="n"/>
    </row>
    <row r="21">
      <c r="A21" s="53" t="inlineStr">
        <is>
          <t>2. ПЕРСОНАЛ И ОБСЛУЖИВАНИЕ</t>
        </is>
      </c>
      <c r="B21" s="54" t="n"/>
      <c r="C21" s="54" t="n"/>
      <c r="D21" s="54" t="n"/>
      <c r="E21" s="54" t="n"/>
      <c r="F21" s="54" t="n"/>
      <c r="G21" s="54" t="n"/>
      <c r="H21" s="4" t="n"/>
    </row>
    <row r="22">
      <c r="A22" s="55" t="inlineStr">
        <is>
          <t>Администратор площадки</t>
        </is>
      </c>
      <c r="B22" s="24" t="n">
        <v>1</v>
      </c>
      <c r="C22" s="56" t="inlineStr">
        <is>
          <t>смена</t>
        </is>
      </c>
      <c r="D22" s="31" t="n">
        <v>10000</v>
      </c>
      <c r="E22" s="35">
        <f>IF($F22="Площадка",0,B22*D22)</f>
        <v/>
      </c>
      <c r="F22" s="57" t="inlineStr">
        <is>
          <t>Площадка</t>
        </is>
      </c>
      <c r="G22" s="37" t="inlineStr"/>
      <c r="H22" s="4" t="n"/>
    </row>
    <row r="23">
      <c r="A23" s="55" t="inlineStr">
        <is>
          <t>Билетный контроль</t>
        </is>
      </c>
      <c r="B23" s="24" t="n">
        <v>2</v>
      </c>
      <c r="C23" s="56" t="inlineStr">
        <is>
          <t>чел.</t>
        </is>
      </c>
      <c r="D23" s="31" t="n">
        <v>4000</v>
      </c>
      <c r="E23" s="35">
        <f>IF($F23="Площадка",0,B23*D23)</f>
        <v/>
      </c>
      <c r="F23" s="57" t="inlineStr">
        <is>
          <t>Площадка</t>
        </is>
      </c>
      <c r="G23" s="37" t="inlineStr"/>
      <c r="H23" s="4" t="n"/>
    </row>
    <row r="24">
      <c r="A24" s="55" t="inlineStr">
        <is>
          <t>Гардероб</t>
        </is>
      </c>
      <c r="B24" s="24" t="n">
        <v>2</v>
      </c>
      <c r="C24" s="56" t="inlineStr">
        <is>
          <t>чел.</t>
        </is>
      </c>
      <c r="D24" s="31" t="n">
        <v>3500</v>
      </c>
      <c r="E24" s="35">
        <f>IF($F24="Площадка",0,B24*D24)</f>
        <v/>
      </c>
      <c r="F24" s="57" t="inlineStr">
        <is>
          <t>Площадка</t>
        </is>
      </c>
      <c r="G24" s="37" t="inlineStr"/>
      <c r="H24" s="4" t="n"/>
    </row>
    <row r="25">
      <c r="A25" s="55" t="inlineStr">
        <is>
          <t>Охрана</t>
        </is>
      </c>
      <c r="B25" s="24" t="n">
        <v>4</v>
      </c>
      <c r="C25" s="56" t="inlineStr">
        <is>
          <t>чел.</t>
        </is>
      </c>
      <c r="D25" s="31" t="n">
        <v>5000</v>
      </c>
      <c r="E25" s="35">
        <f>IF($F25="Площадка",0,B25*D25)</f>
        <v/>
      </c>
      <c r="F25" s="57" t="inlineStr">
        <is>
          <t>Площадка</t>
        </is>
      </c>
      <c r="G25" s="37" t="inlineStr">
        <is>
          <t>Ориентир — 1 человек на 75–100 гостей</t>
        </is>
      </c>
      <c r="H25" s="4" t="n"/>
    </row>
    <row r="26">
      <c r="A26" s="55" t="inlineStr">
        <is>
          <t>Уборка до и после</t>
        </is>
      </c>
      <c r="B26" s="24" t="n">
        <v>2</v>
      </c>
      <c r="C26" s="56" t="inlineStr">
        <is>
          <t>чел.</t>
        </is>
      </c>
      <c r="D26" s="31" t="n">
        <v>3500</v>
      </c>
      <c r="E26" s="35">
        <f>IF($F26="Площадка",0,B26*D26)</f>
        <v/>
      </c>
      <c r="F26" s="57" t="inlineStr">
        <is>
          <t>Площадка</t>
        </is>
      </c>
      <c r="G26" s="37" t="inlineStr"/>
      <c r="H26" s="4" t="n"/>
    </row>
    <row r="27">
      <c r="A27" s="55" t="inlineStr">
        <is>
          <t>Дежурный медик</t>
        </is>
      </c>
      <c r="B27" s="24" t="n">
        <v>1</v>
      </c>
      <c r="C27" s="56" t="inlineStr">
        <is>
          <t>смена</t>
        </is>
      </c>
      <c r="D27" s="31" t="n">
        <v>6000</v>
      </c>
      <c r="E27" s="35">
        <f>IF($F27="Площадка",0,B27*D27)</f>
        <v/>
      </c>
      <c r="F27" s="57" t="inlineStr">
        <is>
          <t>Площадка</t>
        </is>
      </c>
      <c r="G27" s="37" t="inlineStr">
        <is>
          <t>Требование для массовых мероприятий</t>
        </is>
      </c>
      <c r="H27" s="4" t="n"/>
    </row>
    <row r="28">
      <c r="A28" s="55" t="inlineStr">
        <is>
          <t>Фотограф</t>
        </is>
      </c>
      <c r="B28" s="24" t="n">
        <v>1</v>
      </c>
      <c r="C28" s="56" t="inlineStr">
        <is>
          <t>смена</t>
        </is>
      </c>
      <c r="D28" s="31" t="n">
        <v>15000</v>
      </c>
      <c r="E28" s="35">
        <f>IF($F28="Площадка",0,B28*D28)</f>
        <v/>
      </c>
      <c r="F28" s="57" t="inlineStr">
        <is>
          <t>Организатор</t>
        </is>
      </c>
      <c r="G28" s="37" t="inlineStr">
        <is>
          <t>Контент окупается в промо следующего концерта</t>
        </is>
      </c>
      <c r="H28" s="4" t="n"/>
    </row>
    <row r="29">
      <c r="A29" s="55" t="inlineStr">
        <is>
          <t>Видеосъёмка концерта (2 камеры)</t>
        </is>
      </c>
      <c r="B29" s="24" t="n">
        <v>1</v>
      </c>
      <c r="C29" s="56" t="inlineStr">
        <is>
          <t>смена</t>
        </is>
      </c>
      <c r="D29" s="31" t="n">
        <v>25000</v>
      </c>
      <c r="E29" s="35">
        <f>IF($F29="Площадка",0,B29*D29)</f>
        <v/>
      </c>
      <c r="F29" s="57" t="inlineStr">
        <is>
          <t>Организатор</t>
        </is>
      </c>
      <c r="G29" s="37" t="inlineStr">
        <is>
          <t>Материал для клипов, отчётного видео и питчей площадкам</t>
        </is>
      </c>
      <c r="H29" s="4" t="n"/>
    </row>
    <row r="30">
      <c r="A30" s="55" t="inlineStr">
        <is>
          <t>Продюсер / директор проекта</t>
        </is>
      </c>
      <c r="B30" s="24" t="n">
        <v>0</v>
      </c>
      <c r="C30" s="56" t="inlineStr">
        <is>
          <t>проект</t>
        </is>
      </c>
      <c r="D30" s="31" t="n">
        <v>30000</v>
      </c>
      <c r="E30" s="35">
        <f>IF($F30="Площадка",0,B30*D30)</f>
        <v/>
      </c>
      <c r="F30" s="57" t="inlineStr">
        <is>
          <t>Организатор</t>
        </is>
      </c>
      <c r="G30" s="37" t="inlineStr">
        <is>
          <t>Поставьте 1, если проект ведёт наёмный человек, а не вы</t>
        </is>
      </c>
      <c r="H30" s="4" t="n"/>
    </row>
    <row r="31">
      <c r="A31" s="38" t="inlineStr">
        <is>
          <t>Итого по блоку: Персонал и обслуживание</t>
        </is>
      </c>
      <c r="B31" s="39" t="n"/>
      <c r="C31" s="39" t="n"/>
      <c r="D31" s="39" t="n"/>
      <c r="E31" s="41">
        <f>SUM(E22:E30)</f>
        <v/>
      </c>
      <c r="F31" s="39" t="n"/>
      <c r="G31" s="39" t="n"/>
      <c r="H31" s="4" t="n"/>
    </row>
    <row r="32">
      <c r="A32" s="4" t="n"/>
      <c r="B32" s="4" t="n"/>
      <c r="C32" s="4" t="n"/>
      <c r="D32" s="4" t="n"/>
      <c r="E32" s="4" t="n"/>
      <c r="F32" s="4" t="n"/>
      <c r="G32" s="4" t="n"/>
      <c r="H32" s="4" t="n"/>
    </row>
    <row r="33">
      <c r="A33" s="53" t="inlineStr">
        <is>
          <t>3. ПРОДАКШН И ЛОГИСТИКА</t>
        </is>
      </c>
      <c r="B33" s="54" t="n"/>
      <c r="C33" s="54" t="n"/>
      <c r="D33" s="54" t="n"/>
      <c r="E33" s="54" t="n"/>
      <c r="F33" s="54" t="n"/>
      <c r="G33" s="54" t="n"/>
      <c r="H33" s="4" t="n"/>
    </row>
    <row r="34">
      <c r="A34" s="55" t="inlineStr">
        <is>
          <t>Репетиции и прогон программы</t>
        </is>
      </c>
      <c r="B34" s="24" t="n">
        <v>2</v>
      </c>
      <c r="C34" s="56" t="inlineStr">
        <is>
          <t>смена</t>
        </is>
      </c>
      <c r="D34" s="31" t="n">
        <v>6000</v>
      </c>
      <c r="E34" s="35">
        <f>IF($F34="Площадка",0,B34*D34)</f>
        <v/>
      </c>
      <c r="F34" s="57" t="inlineStr">
        <is>
          <t>Организатор</t>
        </is>
      </c>
      <c r="G34" s="37" t="inlineStr">
        <is>
          <t>Аренда репетиционной базы</t>
        </is>
      </c>
      <c r="H34" s="4" t="n"/>
    </row>
    <row r="35">
      <c r="A35" s="55" t="inlineStr">
        <is>
          <t>Транспорт оборудования</t>
        </is>
      </c>
      <c r="B35" s="24" t="n">
        <v>2</v>
      </c>
      <c r="C35" s="56" t="inlineStr">
        <is>
          <t>рейс</t>
        </is>
      </c>
      <c r="D35" s="31" t="n">
        <v>8000</v>
      </c>
      <c r="E35" s="35">
        <f>IF($F35="Площадка",0,B35*D35)</f>
        <v/>
      </c>
      <c r="F35" s="57" t="inlineStr">
        <is>
          <t>Организатор</t>
        </is>
      </c>
      <c r="G35" s="37" t="inlineStr">
        <is>
          <t>Туда и обратно</t>
        </is>
      </c>
      <c r="H35" s="4" t="n"/>
    </row>
    <row r="36">
      <c r="A36" s="55" t="inlineStr">
        <is>
          <t>Трансфер и проживание команды</t>
        </is>
      </c>
      <c r="B36" s="24" t="n">
        <v>0</v>
      </c>
      <c r="C36" s="56" t="inlineStr">
        <is>
          <t>компл.</t>
        </is>
      </c>
      <c r="D36" s="31" t="n">
        <v>25000</v>
      </c>
      <c r="E36" s="35">
        <f>IF($F36="Площадка",0,B36*D36)</f>
        <v/>
      </c>
      <c r="F36" s="57" t="inlineStr">
        <is>
          <t>Организатор</t>
        </is>
      </c>
      <c r="G36" s="37" t="inlineStr">
        <is>
          <t>Заполните, если команда не из этого города</t>
        </is>
      </c>
      <c r="H36" s="4" t="n"/>
    </row>
    <row r="37">
      <c r="A37" s="55" t="inlineStr">
        <is>
          <t>Кейтеринг и райдер бэкстейджа</t>
        </is>
      </c>
      <c r="B37" s="24" t="n">
        <v>15</v>
      </c>
      <c r="C37" s="56" t="inlineStr">
        <is>
          <t>чел.</t>
        </is>
      </c>
      <c r="D37" s="31" t="n">
        <v>800</v>
      </c>
      <c r="E37" s="35">
        <f>IF($F37="Площадка",0,B37*D37)</f>
        <v/>
      </c>
      <c r="F37" s="57" t="inlineStr">
        <is>
          <t>Организатор</t>
        </is>
      </c>
      <c r="G37" s="37" t="inlineStr">
        <is>
          <t>По числу людей на площадке, включая техников</t>
        </is>
      </c>
      <c r="H37" s="4" t="n"/>
    </row>
    <row r="38">
      <c r="A38" s="55" t="inlineStr">
        <is>
          <t>Вода, расходники, хозтовары</t>
        </is>
      </c>
      <c r="B38" s="24" t="n">
        <v>1</v>
      </c>
      <c r="C38" s="56" t="inlineStr">
        <is>
          <t>компл.</t>
        </is>
      </c>
      <c r="D38" s="31" t="n">
        <v>3000</v>
      </c>
      <c r="E38" s="35">
        <f>IF($F38="Площадка",0,B38*D38)</f>
        <v/>
      </c>
      <c r="F38" s="57" t="inlineStr">
        <is>
          <t>Организатор</t>
        </is>
      </c>
      <c r="G38" s="37" t="inlineStr"/>
      <c r="H38" s="4" t="n"/>
    </row>
    <row r="39">
      <c r="A39" s="55" t="inlineStr">
        <is>
          <t>Полиграфия: афиши, флаеры</t>
        </is>
      </c>
      <c r="B39" s="24" t="n">
        <v>1</v>
      </c>
      <c r="C39" s="56" t="inlineStr">
        <is>
          <t>тираж</t>
        </is>
      </c>
      <c r="D39" s="31" t="n">
        <v>12000</v>
      </c>
      <c r="E39" s="35">
        <f>IF($F39="Площадка",0,B39*D39)</f>
        <v/>
      </c>
      <c r="F39" s="57" t="inlineStr">
        <is>
          <t>Организатор</t>
        </is>
      </c>
      <c r="G39" s="37" t="inlineStr">
        <is>
          <t>Печать. Размещение — в бюджете маркетинга</t>
        </is>
      </c>
      <c r="H39" s="4" t="n"/>
    </row>
    <row r="40">
      <c r="A40" s="55" t="inlineStr">
        <is>
          <t>Бейджи, браслеты, программки</t>
        </is>
      </c>
      <c r="B40" s="24" t="n">
        <v>1</v>
      </c>
      <c r="C40" s="56" t="inlineStr">
        <is>
          <t>тираж</t>
        </is>
      </c>
      <c r="D40" s="31" t="n">
        <v>6000</v>
      </c>
      <c r="E40" s="35">
        <f>IF($F40="Площадка",0,B40*D40)</f>
        <v/>
      </c>
      <c r="F40" s="57" t="inlineStr">
        <is>
          <t>Организатор</t>
        </is>
      </c>
      <c r="G40" s="37" t="inlineStr"/>
      <c r="H40" s="4" t="n"/>
    </row>
    <row r="41">
      <c r="A41" s="55" t="inlineStr">
        <is>
          <t>Оформление сцены и зала, декор</t>
        </is>
      </c>
      <c r="B41" s="24" t="n">
        <v>1</v>
      </c>
      <c r="C41" s="56" t="inlineStr">
        <is>
          <t>компл.</t>
        </is>
      </c>
      <c r="D41" s="31" t="n">
        <v>15000</v>
      </c>
      <c r="E41" s="35">
        <f>IF($F41="Площадка",0,B41*D41)</f>
        <v/>
      </c>
      <c r="F41" s="57" t="inlineStr">
        <is>
          <t>Организатор</t>
        </is>
      </c>
      <c r="G41" s="37" t="inlineStr">
        <is>
          <t>Сильно влияет на восприятие и на качество контента</t>
        </is>
      </c>
      <c r="H41" s="4" t="n"/>
    </row>
    <row r="42">
      <c r="A42" s="38" t="inlineStr">
        <is>
          <t>Итого по блоку: Продакшн и логистика</t>
        </is>
      </c>
      <c r="B42" s="39" t="n"/>
      <c r="C42" s="39" t="n"/>
      <c r="D42" s="39" t="n"/>
      <c r="E42" s="41">
        <f>SUM(E34:E41)</f>
        <v/>
      </c>
      <c r="F42" s="39" t="n"/>
      <c r="G42" s="39" t="n"/>
      <c r="H42" s="4" t="n"/>
    </row>
    <row r="43">
      <c r="A43" s="4" t="n"/>
      <c r="B43" s="4" t="n"/>
      <c r="C43" s="4" t="n"/>
      <c r="D43" s="4" t="n"/>
      <c r="E43" s="4" t="n"/>
      <c r="F43" s="4" t="n"/>
      <c r="G43" s="4" t="n"/>
      <c r="H43" s="4" t="n"/>
    </row>
    <row r="44">
      <c r="A44" s="53" t="inlineStr">
        <is>
          <t>5. ЮРИДИЧЕСКОЕ, ФИНАНСОВОЕ, ПРОЧЕЕ</t>
        </is>
      </c>
      <c r="B44" s="54" t="n"/>
      <c r="C44" s="54" t="n"/>
      <c r="D44" s="54" t="n"/>
      <c r="E44" s="54" t="n"/>
      <c r="F44" s="54" t="n"/>
      <c r="G44" s="54" t="n"/>
      <c r="H44" s="4" t="n"/>
    </row>
    <row r="45">
      <c r="A45" s="55" t="inlineStr">
        <is>
          <t>Страхование мероприятия</t>
        </is>
      </c>
      <c r="B45" s="24" t="n">
        <v>0</v>
      </c>
      <c r="C45" s="56" t="inlineStr">
        <is>
          <t>полис</t>
        </is>
      </c>
      <c r="D45" s="31" t="n">
        <v>12000</v>
      </c>
      <c r="E45" s="35">
        <f>IF($F45="Площадка",0,B45*D45)</f>
        <v/>
      </c>
      <c r="F45" s="57" t="inlineStr">
        <is>
          <t>Организатор</t>
        </is>
      </c>
      <c r="G45" s="37" t="inlineStr">
        <is>
          <t>Рекомендую при бюджете свыше 500 000 ₽ — покрывает срыв и отмену</t>
        </is>
      </c>
      <c r="H45" s="4" t="n"/>
    </row>
    <row r="46">
      <c r="A46" s="55" t="inlineStr">
        <is>
          <t>Юридическое сопровождение, договоры</t>
        </is>
      </c>
      <c r="B46" s="24" t="n">
        <v>1</v>
      </c>
      <c r="C46" s="56" t="inlineStr">
        <is>
          <t>проект</t>
        </is>
      </c>
      <c r="D46" s="31" t="n">
        <v>8000</v>
      </c>
      <c r="E46" s="35">
        <f>IF($F46="Площадка",0,B46*D46)</f>
        <v/>
      </c>
      <c r="F46" s="57" t="inlineStr">
        <is>
          <t>Организатор</t>
        </is>
      </c>
      <c r="G46" s="37" t="inlineStr">
        <is>
          <t>Договор с площадкой, артистами, лицензия РАО</t>
        </is>
      </c>
      <c r="H46" s="4" t="n"/>
    </row>
    <row r="47">
      <c r="A47" s="55" t="inlineStr">
        <is>
          <t>Согласования и уведомления</t>
        </is>
      </c>
      <c r="B47" s="24" t="n">
        <v>1</v>
      </c>
      <c r="C47" s="56" t="inlineStr">
        <is>
          <t>проект</t>
        </is>
      </c>
      <c r="D47" s="31" t="n">
        <v>5000</v>
      </c>
      <c r="E47" s="35">
        <f>IF($F47="Площадка",0,B47*D47)</f>
        <v/>
      </c>
      <c r="F47" s="57" t="inlineStr">
        <is>
          <t>Организатор</t>
        </is>
      </c>
      <c r="G47" s="37" t="inlineStr"/>
      <c r="H47" s="4" t="n"/>
    </row>
    <row r="48">
      <c r="A48" s="55" t="inlineStr">
        <is>
          <t>Онлайн-касса, ОФД, кассовое обслуживание</t>
        </is>
      </c>
      <c r="B48" s="24" t="n">
        <v>1</v>
      </c>
      <c r="C48" s="56" t="inlineStr">
        <is>
          <t>проект</t>
        </is>
      </c>
      <c r="D48" s="31" t="n">
        <v>3000</v>
      </c>
      <c r="E48" s="35">
        <f>IF($F48="Площадка",0,B48*D48)</f>
        <v/>
      </c>
      <c r="F48" s="57" t="inlineStr">
        <is>
          <t>Организатор</t>
        </is>
      </c>
      <c r="G48" s="37" t="inlineStr">
        <is>
          <t>Если часть билетов продаёте сами</t>
        </is>
      </c>
      <c r="H48" s="4" t="n"/>
    </row>
    <row r="49">
      <c r="A49" s="38" t="inlineStr">
        <is>
          <t>Итого по блоку: Юридическое, финансовое, прочее</t>
        </is>
      </c>
      <c r="B49" s="39" t="n"/>
      <c r="C49" s="39" t="n"/>
      <c r="D49" s="39" t="n"/>
      <c r="E49" s="41">
        <f>SUM(E45:E48)</f>
        <v/>
      </c>
      <c r="F49" s="39" t="n"/>
      <c r="G49" s="39" t="n"/>
      <c r="H49" s="4" t="n"/>
    </row>
    <row r="50">
      <c r="A50" s="4" t="n"/>
      <c r="B50" s="4" t="n"/>
      <c r="C50" s="4" t="n"/>
      <c r="D50" s="4" t="n"/>
      <c r="E50" s="4" t="n"/>
      <c r="F50" s="4" t="n"/>
      <c r="G50" s="4" t="n"/>
      <c r="H50" s="4" t="n"/>
    </row>
    <row r="51">
      <c r="A51" s="53" t="inlineStr">
        <is>
          <t>4. МАРКЕТИНГ И PR</t>
        </is>
      </c>
      <c r="B51" s="54" t="n"/>
      <c r="C51" s="54" t="n"/>
      <c r="D51" s="54" t="n"/>
      <c r="E51" s="54" t="n"/>
      <c r="F51" s="54" t="n"/>
      <c r="G51" s="54" t="n"/>
      <c r="H51" s="4" t="n"/>
    </row>
    <row r="52">
      <c r="A52" s="55" t="inlineStr">
        <is>
          <t>Бюджет маркетинга и PR (детализация — на листе «Маркетинг»)</t>
        </is>
      </c>
      <c r="B52" s="18" t="n"/>
      <c r="C52" s="18" t="n"/>
      <c r="D52" s="18" t="n"/>
      <c r="E52" s="58">
        <f>Маркетинг!$B$14</f>
        <v/>
      </c>
      <c r="F52" s="59" t="inlineStr">
        <is>
          <t>Организатор</t>
        </is>
      </c>
      <c r="G52" s="37" t="inlineStr">
        <is>
          <t>Меняется на листе «Маркетинг» — здесь только итог</t>
        </is>
      </c>
      <c r="H52" s="4" t="n"/>
    </row>
    <row r="53">
      <c r="A53" s="38" t="inlineStr">
        <is>
          <t>Итого по блоку: Маркетинг и PR</t>
        </is>
      </c>
      <c r="B53" s="39" t="n"/>
      <c r="C53" s="39" t="n"/>
      <c r="D53" s="39" t="n"/>
      <c r="E53" s="41">
        <f>E52</f>
        <v/>
      </c>
      <c r="F53" s="39" t="n"/>
      <c r="G53" s="39" t="n"/>
      <c r="H53" s="4" t="n"/>
    </row>
    <row r="54">
      <c r="A54" s="4" t="n"/>
      <c r="B54" s="4" t="n"/>
      <c r="C54" s="4" t="n"/>
      <c r="D54" s="4" t="n"/>
      <c r="E54" s="4" t="n"/>
      <c r="F54" s="4" t="n"/>
      <c r="G54" s="4" t="n"/>
      <c r="H54" s="4" t="n"/>
    </row>
    <row r="55" ht="20" customHeight="1">
      <c r="A55" s="8" t="inlineStr">
        <is>
          <t>ИТОГИ СМЕТЫ</t>
        </is>
      </c>
      <c r="B55" s="9" t="n"/>
      <c r="C55" s="9" t="n"/>
      <c r="D55" s="9" t="n"/>
      <c r="E55" s="9" t="n"/>
      <c r="F55" s="9" t="n"/>
      <c r="G55" s="9" t="n"/>
      <c r="H55" s="9" t="n"/>
    </row>
    <row r="56">
      <c r="A56" s="6" t="inlineStr">
        <is>
          <t>Прямые расходы организатора (блоки 1–5)</t>
        </is>
      </c>
      <c r="B56" s="4" t="n"/>
      <c r="C56" s="4" t="n"/>
      <c r="D56" s="4" t="n"/>
      <c r="E56" s="60">
        <f>E19+E31+E42+E49+E53</f>
        <v/>
      </c>
      <c r="F56" s="4" t="n"/>
      <c r="G56" s="4" t="n"/>
      <c r="H56" s="4" t="n"/>
    </row>
    <row r="57">
      <c r="A57" s="7" t="inlineStr">
        <is>
          <t>Резерв на непредвиденное</t>
        </is>
      </c>
      <c r="B57" s="4" t="n"/>
      <c r="C57" s="4" t="n"/>
      <c r="D57" s="4" t="n"/>
      <c r="E57" s="35">
        <f>E56*Вводные!$B$42</f>
        <v/>
      </c>
      <c r="F57" s="4" t="n"/>
      <c r="G57" s="3" t="inlineStr">
        <is>
          <t>Ставка резерва задаётся на листе «Вводные»</t>
        </is>
      </c>
      <c r="H57" s="4" t="n"/>
    </row>
    <row r="58" ht="22" customHeight="1">
      <c r="A58" s="61" t="inlineStr">
        <is>
          <t>ИТОГО ПОСТОЯННЫЕ РАСХОДЫ ОРГАНИЗАТОРА</t>
        </is>
      </c>
      <c r="B58" s="62" t="n"/>
      <c r="C58" s="62" t="n"/>
      <c r="D58" s="62" t="n"/>
      <c r="E58" s="63">
        <f>E56+E57</f>
        <v/>
      </c>
      <c r="F58" s="62" t="n"/>
      <c r="G58" s="62" t="n"/>
      <c r="H58" s="4" t="n"/>
    </row>
    <row r="59">
      <c r="A59" s="4" t="n"/>
      <c r="B59" s="4" t="n"/>
      <c r="C59" s="4" t="n"/>
      <c r="D59" s="4" t="n"/>
      <c r="E59" s="4" t="n"/>
      <c r="F59" s="4" t="n"/>
      <c r="G59" s="4" t="n"/>
      <c r="H59" s="4" t="n"/>
    </row>
    <row r="60">
      <c r="A60" s="5" t="inlineStr">
        <is>
          <t>Справочно: рыночная стоимость услуг, которые берёт на себя площадка</t>
        </is>
      </c>
      <c r="B60" s="4" t="n"/>
      <c r="C60" s="4" t="n"/>
      <c r="D60" s="4" t="n"/>
      <c r="E60" s="64">
        <f>SUMPRODUCT(($F$6:$F$18="Площадка")*$B$6:$B$18*$D$6:$D$18)+SUMPRODUCT(($F$22:$F$30="Площадка")*$B$22:$B$30*$D$22:$D$30)+SUMPRODUCT(($F$34:$F$41="Площадка")*$B$34:$B$41*$D$34:$D$41)+SUMPRODUCT(($F$45:$F$48="Площадка")*$B$45:$B$48*$D$45:$D$48)</f>
        <v/>
      </c>
      <c r="F60" s="4" t="n"/>
      <c r="G60" s="3" t="inlineStr">
        <is>
          <t>Это ваш реальный аргумент в переговорах о доле: сравните с половиной прибыли, которую отдаёте</t>
        </is>
      </c>
      <c r="H60" s="4" t="n"/>
    </row>
  </sheetData>
  <dataValidations count="1">
    <dataValidation sqref="F6 F7 F8 F9 F10 F11 F12 F13 F14 F15 F16 F17 F18 F22 F23 F24 F25 F26 F27 F28 F29 F30 F34 F35 F36 F37 F38 F39 F40 F41 F45 F46 F47 F48" showDropDown="0" showInputMessage="0" showErrorMessage="0" allowBlank="0" type="list">
      <formula1>"Организатор,Площадка"</formula1>
    </dataValidation>
  </dataValidation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H47"/>
  <sheetViews>
    <sheetView workbookViewId="0">
      <pane ySplit="4" topLeftCell="A5" activePane="bottomLeft" state="frozen"/>
      <selection pane="bottomLeft" activeCell="A1" sqref="A1"/>
    </sheetView>
  </sheetViews>
  <sheetFormatPr baseColWidth="8" defaultRowHeight="15"/>
  <cols>
    <col width="56" customWidth="1" min="1" max="1"/>
    <col width="18" customWidth="1" min="2" max="2"/>
    <col width="12" customWidth="1" min="3" max="3"/>
    <col width="62" customWidth="1" min="4" max="4"/>
  </cols>
  <sheetData>
    <row r="1" ht="30" customHeight="1">
      <c r="A1" s="1" t="inlineStr">
        <is>
          <t>ЭКОНОМИКА КОНЦЕРТА: ОТ КАССЫ ДО ДЕНЕГ В КАРМАНЕ</t>
        </is>
      </c>
      <c r="B1" s="2" t="n"/>
      <c r="C1" s="2" t="n"/>
      <c r="D1" s="2" t="n"/>
      <c r="E1" s="2" t="n"/>
      <c r="F1" s="2" t="n"/>
      <c r="G1" s="2" t="n"/>
      <c r="H1" s="2" t="n"/>
    </row>
    <row r="2">
      <c r="A2" s="3" t="inlineStr">
        <is>
          <t>Водопад по вашей схеме: УСН 6% с валового сбора → расходы → раздел прибыли с площадкой → 8% (6+1+1) с выплаты вам.</t>
        </is>
      </c>
      <c r="B2" s="4" t="n"/>
      <c r="C2" s="4" t="n"/>
      <c r="D2" s="4" t="n"/>
      <c r="E2" s="4" t="n"/>
      <c r="F2" s="4" t="n"/>
      <c r="G2" s="4" t="n"/>
      <c r="H2" s="4" t="n"/>
    </row>
    <row r="3">
      <c r="A3" s="4" t="n"/>
      <c r="B3" s="4" t="n"/>
      <c r="C3" s="4" t="n"/>
      <c r="D3" s="4" t="n"/>
      <c r="E3" s="4" t="n"/>
      <c r="F3" s="4" t="n"/>
      <c r="G3" s="4" t="n"/>
      <c r="H3" s="4" t="n"/>
    </row>
    <row r="4" ht="30" customHeight="1">
      <c r="A4" s="32" t="inlineStr">
        <is>
          <t>Показатель</t>
        </is>
      </c>
      <c r="B4" s="32" t="inlineStr">
        <is>
          <t>Сумма, ₽</t>
        </is>
      </c>
      <c r="C4" s="32" t="inlineStr">
        <is>
          <t>% от сбора</t>
        </is>
      </c>
      <c r="D4" s="32" t="inlineStr">
        <is>
          <t>Комментарий</t>
        </is>
      </c>
      <c r="E4" s="4" t="n"/>
      <c r="F4" s="4" t="n"/>
      <c r="G4" s="4" t="n"/>
      <c r="H4" s="4" t="n"/>
    </row>
    <row r="5" ht="20" customHeight="1">
      <c r="A5" s="8" t="inlineStr">
        <is>
          <t>ДОХОДНАЯ ЧАСТЬ</t>
        </is>
      </c>
      <c r="B5" s="9" t="n"/>
      <c r="C5" s="9" t="n"/>
      <c r="D5" s="9" t="n"/>
      <c r="E5" s="4" t="n"/>
      <c r="F5" s="4" t="n"/>
      <c r="G5" s="4" t="n"/>
      <c r="H5" s="4" t="n"/>
    </row>
    <row r="6">
      <c r="A6" s="55" t="inlineStr">
        <is>
          <t>Продано билетов всего, шт</t>
        </is>
      </c>
      <c r="B6" s="43">
        <f>Билеты!$E$12</f>
        <v/>
      </c>
      <c r="C6" s="18" t="n"/>
      <c r="D6" s="18" t="n"/>
      <c r="E6" s="4" t="n"/>
      <c r="F6" s="4" t="n"/>
      <c r="G6" s="4" t="n"/>
      <c r="H6" s="4" t="n"/>
    </row>
    <row r="7">
      <c r="A7" s="55" t="inlineStr">
        <is>
          <t xml:space="preserve">   в том числе платных, шт</t>
        </is>
      </c>
      <c r="B7" s="43">
        <f>Билеты!$B$17</f>
        <v/>
      </c>
      <c r="C7" s="18" t="n"/>
      <c r="D7" s="18" t="n"/>
      <c r="E7" s="4" t="n"/>
      <c r="F7" s="4" t="n"/>
      <c r="G7" s="4" t="n"/>
      <c r="H7" s="4" t="n"/>
    </row>
    <row r="8">
      <c r="A8" s="55" t="inlineStr">
        <is>
          <t>Средняя цена платного билета, ₽</t>
        </is>
      </c>
      <c r="B8" s="45">
        <f>Билеты!$B$20</f>
        <v/>
      </c>
      <c r="C8" s="18" t="n"/>
      <c r="D8" s="18" t="n"/>
      <c r="E8" s="4" t="n"/>
      <c r="F8" s="4" t="n"/>
      <c r="G8" s="4" t="n"/>
      <c r="H8" s="4" t="n"/>
    </row>
    <row r="9">
      <c r="A9" s="38" t="inlineStr">
        <is>
          <t>ВАЛОВОЙ СБОР (BOX OFFICE)</t>
        </is>
      </c>
      <c r="B9" s="65">
        <f>Билеты!$F$12</f>
        <v/>
      </c>
      <c r="C9" s="66">
        <f>IFERROR(B9/$B$9,0)</f>
        <v/>
      </c>
      <c r="D9" s="67" t="inlineStr">
        <is>
          <t>Вся сумма, которую платят зрители за номинал билета</t>
        </is>
      </c>
      <c r="E9" s="4" t="n"/>
      <c r="F9" s="4" t="n"/>
      <c r="G9" s="4" t="n"/>
      <c r="H9" s="4" t="n"/>
    </row>
    <row r="10">
      <c r="A10" s="55" t="inlineStr">
        <is>
          <t>Сервисный сбор с покупателя (справочно)</t>
        </is>
      </c>
      <c r="B10" s="68">
        <f>IF(Вводные!$B$18=1,Экономика!$B$9*(1-Вводные!$B$20)*Вводные!$B$19,0)</f>
        <v/>
      </c>
      <c r="C10" s="21">
        <f>IFERROR(B10/$B$9,0)</f>
        <v/>
      </c>
      <c r="D10" s="37" t="inlineStr">
        <is>
          <t>При схеме 1 это деньги оператора сверх цены — в вашу выручку не входят</t>
        </is>
      </c>
      <c r="E10" s="4" t="n"/>
      <c r="F10" s="4" t="n"/>
      <c r="G10" s="4" t="n"/>
      <c r="H10" s="4" t="n"/>
    </row>
    <row r="11" ht="20" customHeight="1">
      <c r="A11" s="8" t="inlineStr">
        <is>
          <t>ВЫЧЕТЫ ИЗ ВАЛОВОГО СБОРА — УРОВЕНЬ 1</t>
        </is>
      </c>
      <c r="B11" s="9" t="n"/>
      <c r="C11" s="9" t="n"/>
      <c r="D11" s="9" t="n"/>
      <c r="E11" s="4" t="n"/>
      <c r="F11" s="4" t="n"/>
      <c r="G11" s="4" t="n"/>
      <c r="H11" s="4" t="n"/>
    </row>
    <row r="12">
      <c r="A12" s="55" t="inlineStr">
        <is>
          <t>Комиссия билетного оператора</t>
        </is>
      </c>
      <c r="B12" s="68">
        <f>IF(Вводные!$B$18=2,Экономика!$B$9*(1-Вводные!$B$20)*Вводные!$B$19,0)</f>
        <v/>
      </c>
      <c r="C12" s="21">
        <f>IFERROR(B12/$B$9,0)</f>
        <v/>
      </c>
      <c r="D12" s="37" t="inlineStr">
        <is>
          <t>При схеме 2 удерживается из цены билета. На продажи «на входе» не начисляется</t>
        </is>
      </c>
      <c r="E12" s="4" t="n"/>
      <c r="F12" s="4" t="n"/>
      <c r="G12" s="4" t="n"/>
      <c r="H12" s="4" t="n"/>
    </row>
    <row r="13">
      <c r="A13" s="55" t="inlineStr">
        <is>
          <t>Отчисления в РАО</t>
        </is>
      </c>
      <c r="B13" s="68">
        <f>Экономика!$B$9*Вводные!$B$26</f>
        <v/>
      </c>
      <c r="C13" s="21">
        <f>IFERROR(B13/$B$9,0)</f>
        <v/>
      </c>
      <c r="D13" s="37" t="inlineStr">
        <is>
          <t>5% от валового сбора за публичное исполнение произведений</t>
        </is>
      </c>
      <c r="E13" s="4" t="n"/>
      <c r="F13" s="4" t="n"/>
      <c r="G13" s="4" t="n"/>
      <c r="H13" s="4" t="n"/>
    </row>
    <row r="14">
      <c r="A14" s="55" t="inlineStr">
        <is>
          <t>УСН 6% с валового сбора</t>
        </is>
      </c>
      <c r="B14" s="68">
        <f>Экономика!$B$9*Вводные!$B$25</f>
        <v/>
      </c>
      <c r="C14" s="21">
        <f>IFERROR(B14/$B$9,0)</f>
        <v/>
      </c>
      <c r="D14" s="37" t="inlineStr">
        <is>
          <t>Уровень 1: только УСН, без взносов и банковской комиссии</t>
        </is>
      </c>
      <c r="E14" s="4" t="n"/>
      <c r="F14" s="4" t="n"/>
      <c r="G14" s="4" t="n"/>
      <c r="H14" s="4" t="n"/>
    </row>
    <row r="15">
      <c r="A15" s="69" t="inlineStr">
        <is>
          <t>ИТОГО ВЫЧЕТОВ</t>
        </is>
      </c>
      <c r="B15" s="46">
        <f>Экономика!$B$12+Экономика!$B$13+Экономика!$B$14</f>
        <v/>
      </c>
      <c r="C15" s="70">
        <f>IFERROR(B15/$B$9,0)</f>
        <v/>
      </c>
      <c r="D15" s="18" t="n"/>
      <c r="E15" s="4" t="n"/>
      <c r="F15" s="4" t="n"/>
      <c r="G15" s="4" t="n"/>
      <c r="H15" s="4" t="n"/>
    </row>
    <row r="16">
      <c r="A16" s="38" t="inlineStr">
        <is>
          <t>СБОР ПОСЛЕ ВЫЧЕТОВ</t>
        </is>
      </c>
      <c r="B16" s="71">
        <f>Экономика!$B$9-Экономика!$B$15</f>
        <v/>
      </c>
      <c r="C16" s="66">
        <f>IFERROR(B16/$B$9,0)</f>
        <v/>
      </c>
      <c r="D16" s="39" t="n"/>
      <c r="E16" s="4" t="n"/>
      <c r="F16" s="4" t="n"/>
      <c r="G16" s="4" t="n"/>
      <c r="H16" s="4" t="n"/>
    </row>
    <row r="17" ht="20" customHeight="1">
      <c r="A17" s="8" t="inlineStr">
        <is>
          <t>РАСХОДЫ</t>
        </is>
      </c>
      <c r="B17" s="9" t="n"/>
      <c r="C17" s="9" t="n"/>
      <c r="D17" s="9" t="n"/>
      <c r="E17" s="4" t="n"/>
      <c r="F17" s="4" t="n"/>
      <c r="G17" s="4" t="n"/>
      <c r="H17" s="4" t="n"/>
    </row>
    <row r="18">
      <c r="A18" s="55" t="inlineStr">
        <is>
          <t>Площадка и техническое обеспечение</t>
        </is>
      </c>
      <c r="B18" s="45">
        <f>Расходы!$E$19</f>
        <v/>
      </c>
      <c r="C18" s="21">
        <f>IFERROR(B18/$B$9,0)</f>
        <v/>
      </c>
      <c r="D18" s="18" t="n"/>
      <c r="E18" s="4" t="n"/>
      <c r="F18" s="4" t="n"/>
      <c r="G18" s="4" t="n"/>
      <c r="H18" s="4" t="n"/>
    </row>
    <row r="19">
      <c r="A19" s="55" t="inlineStr">
        <is>
          <t>Персонал и обслуживание</t>
        </is>
      </c>
      <c r="B19" s="45">
        <f>Расходы!$E$31</f>
        <v/>
      </c>
      <c r="C19" s="21">
        <f>IFERROR(B19/$B$9,0)</f>
        <v/>
      </c>
      <c r="D19" s="18" t="n"/>
      <c r="E19" s="4" t="n"/>
      <c r="F19" s="4" t="n"/>
      <c r="G19" s="4" t="n"/>
      <c r="H19" s="4" t="n"/>
    </row>
    <row r="20">
      <c r="A20" s="55" t="inlineStr">
        <is>
          <t>Продакшн и логистика</t>
        </is>
      </c>
      <c r="B20" s="45">
        <f>Расходы!$E$42</f>
        <v/>
      </c>
      <c r="C20" s="21">
        <f>IFERROR(B20/$B$9,0)</f>
        <v/>
      </c>
      <c r="D20" s="18" t="n"/>
      <c r="E20" s="4" t="n"/>
      <c r="F20" s="4" t="n"/>
      <c r="G20" s="4" t="n"/>
      <c r="H20" s="4" t="n"/>
    </row>
    <row r="21">
      <c r="A21" s="55" t="inlineStr">
        <is>
          <t>Маркетинг и PR</t>
        </is>
      </c>
      <c r="B21" s="45">
        <f>Расходы!$E$53</f>
        <v/>
      </c>
      <c r="C21" s="21">
        <f>IFERROR(B21/$B$9,0)</f>
        <v/>
      </c>
      <c r="D21" s="37" t="inlineStr">
        <is>
          <t>Детализация по каналам и стоимость привлечения — на листе «Маркетинг»</t>
        </is>
      </c>
      <c r="E21" s="4" t="n"/>
      <c r="F21" s="4" t="n"/>
      <c r="G21" s="4" t="n"/>
      <c r="H21" s="4" t="n"/>
    </row>
    <row r="22">
      <c r="A22" s="55" t="inlineStr">
        <is>
          <t>Юридическое, финансовое, прочее</t>
        </is>
      </c>
      <c r="B22" s="45">
        <f>Расходы!$E$49</f>
        <v/>
      </c>
      <c r="C22" s="21">
        <f>IFERROR(B22/$B$9,0)</f>
        <v/>
      </c>
      <c r="D22" s="18" t="n"/>
      <c r="E22" s="4" t="n"/>
      <c r="F22" s="4" t="n"/>
      <c r="G22" s="4" t="n"/>
      <c r="H22" s="4" t="n"/>
    </row>
    <row r="23">
      <c r="A23" s="55" t="inlineStr">
        <is>
          <t>Резерв на непредвиденное</t>
        </is>
      </c>
      <c r="B23" s="45">
        <f>Расходы!$E$58-(Расходы!$E$19+Расходы!$E$31+Расходы!$E$42+Расходы!$E$49+Расходы!$E$53)</f>
        <v/>
      </c>
      <c r="C23" s="21">
        <f>IFERROR(B23/$B$9,0)</f>
        <v/>
      </c>
      <c r="D23" s="18" t="n"/>
      <c r="E23" s="4" t="n"/>
      <c r="F23" s="4" t="n"/>
      <c r="G23" s="4" t="n"/>
      <c r="H23" s="4" t="n"/>
    </row>
    <row r="24">
      <c r="A24" s="69" t="inlineStr">
        <is>
          <t>Итого постоянных расходов</t>
        </is>
      </c>
      <c r="B24" s="58">
        <f>Расходы!$E$58</f>
        <v/>
      </c>
      <c r="C24" s="70">
        <f>IFERROR(B24/$B$9,0)</f>
        <v/>
      </c>
      <c r="D24" s="18" t="n"/>
      <c r="E24" s="4" t="n"/>
      <c r="F24" s="4" t="n"/>
      <c r="G24" s="4" t="n"/>
      <c r="H24" s="4" t="n"/>
    </row>
    <row r="25">
      <c r="A25" s="55" t="inlineStr">
        <is>
          <t>Переменные расходы на гостей</t>
        </is>
      </c>
      <c r="B25" s="68">
        <f>Экономика!$B$6*Вводные!$B$41</f>
        <v/>
      </c>
      <c r="C25" s="21">
        <f>IFERROR(B25/$B$9,0)</f>
        <v/>
      </c>
      <c r="D25" s="37" t="inlineStr">
        <is>
          <t>Браслеты, печать билетов, вода, гардеробные номерки — растут вместе с залом</t>
        </is>
      </c>
      <c r="E25" s="4" t="n"/>
      <c r="F25" s="4" t="n"/>
      <c r="G25" s="4" t="n"/>
      <c r="H25" s="4" t="n"/>
    </row>
    <row r="26">
      <c r="A26" s="38" t="inlineStr">
        <is>
          <t>ИТОГО РАСХОДЫ</t>
        </is>
      </c>
      <c r="B26" s="71">
        <f>Экономика!$B$24+Экономика!$B$25</f>
        <v/>
      </c>
      <c r="C26" s="66">
        <f>IFERROR(B26/$B$9,0)</f>
        <v/>
      </c>
      <c r="D26" s="39" t="n"/>
      <c r="E26" s="4" t="n"/>
      <c r="F26" s="4" t="n"/>
      <c r="G26" s="4" t="n"/>
      <c r="H26" s="4" t="n"/>
    </row>
    <row r="27" ht="20" customHeight="1">
      <c r="A27" s="8" t="inlineStr">
        <is>
          <t>РАЗДЕЛ ПРИБЫЛИ С ПЛОЩАДКОЙ</t>
        </is>
      </c>
      <c r="B27" s="9" t="n"/>
      <c r="C27" s="9" t="n"/>
      <c r="D27" s="9" t="n"/>
      <c r="E27" s="4" t="n"/>
      <c r="F27" s="4" t="n"/>
      <c r="G27" s="4" t="n"/>
      <c r="H27" s="4" t="n"/>
    </row>
    <row r="28">
      <c r="A28" s="55" t="inlineStr">
        <is>
          <t>Доп. доходы, участвующие в разделе (за вычетом УСН 6%)</t>
        </is>
      </c>
      <c r="B28" s="68">
        <f>IF(Вводные!$B$38="Да",Билеты!$E$32*(1-Вводные!$B$25),0)</f>
        <v/>
      </c>
      <c r="C28" s="21">
        <f>IFERROR(B28/$B$9,0)</f>
        <v/>
      </c>
      <c r="D28" s="37" t="inlineStr">
        <is>
          <t>Переключатель «Доп. доходы участвуют в разделе» — на листе «Вводные»</t>
        </is>
      </c>
      <c r="E28" s="4" t="n"/>
      <c r="F28" s="4" t="n"/>
      <c r="G28" s="4" t="n"/>
      <c r="H28" s="4" t="n"/>
    </row>
    <row r="29">
      <c r="A29" s="50" t="inlineStr">
        <is>
          <t>ПРИБЫЛЬ К РАЗДЕЛУ</t>
        </is>
      </c>
      <c r="B29" s="72">
        <f>Экономика!$B$16-Экономика!$B$26+Экономика!$B$28</f>
        <v/>
      </c>
      <c r="C29" s="66">
        <f>IFERROR(B29/$B$9,0)</f>
        <v/>
      </c>
      <c r="D29" s="39" t="n"/>
      <c r="E29" s="4" t="n"/>
      <c r="F29" s="4" t="n"/>
      <c r="G29" s="4" t="n"/>
      <c r="H29" s="4" t="n"/>
    </row>
    <row r="30">
      <c r="A30" s="55" t="inlineStr">
        <is>
          <t>Доля площадки</t>
        </is>
      </c>
      <c r="B30" s="68">
        <f>IF(Экономика!$B$29&gt;=0,Экономика!$B$29*Вводные!$B$36,IF(Вводные!$B$37="Да",Экономика!$B$29*Вводные!$B$36,0))</f>
        <v/>
      </c>
      <c r="C30" s="21">
        <f>IFERROR(B30/$B$9,0)</f>
        <v/>
      </c>
      <c r="D30" s="37" t="inlineStr">
        <is>
          <t>Если убыток не делится, площадка не несёт ничего — весь минус ваш</t>
        </is>
      </c>
      <c r="E30" s="4" t="n"/>
      <c r="F30" s="4" t="n"/>
      <c r="G30" s="4" t="n"/>
      <c r="H30" s="4" t="n"/>
    </row>
    <row r="31">
      <c r="A31" s="69" t="inlineStr">
        <is>
          <t>Доля организатора — выплата по договору</t>
        </is>
      </c>
      <c r="B31" s="46">
        <f>Экономика!$B$29-Экономика!$B$30</f>
        <v/>
      </c>
      <c r="C31" s="70">
        <f>IFERROR(B31/$B$9,0)</f>
        <v/>
      </c>
      <c r="D31" s="18" t="n"/>
      <c r="E31" s="4" t="n"/>
      <c r="F31" s="4" t="n"/>
      <c r="G31" s="4" t="n"/>
      <c r="H31" s="4" t="n"/>
    </row>
    <row r="32">
      <c r="A32" s="55" t="inlineStr">
        <is>
          <t>Налог и комиссии с выплаты (уровень 2: 6%+1%+1%)</t>
        </is>
      </c>
      <c r="B32" s="68">
        <f>-MAX(0,Экономика!$B$31)*Вводные!$B$32</f>
        <v/>
      </c>
      <c r="C32" s="21">
        <f>IFERROR(B32/$B$9,0)</f>
        <v/>
      </c>
      <c r="D32" s="37" t="inlineStr">
        <is>
          <t>Выплата от площадки — второй доход, облагается повторно</t>
        </is>
      </c>
      <c r="E32" s="4" t="n"/>
      <c r="F32" s="4" t="n"/>
      <c r="G32" s="4" t="n"/>
      <c r="H32" s="4" t="n"/>
    </row>
    <row r="33">
      <c r="A33" s="50" t="inlineStr">
        <is>
          <t>ЧИСТЫЙ ДОХОД ОРГАНИЗАТОРА ОТ БИЛЕТОВ</t>
        </is>
      </c>
      <c r="B33" s="72">
        <f>Экономика!$B$31+Экономика!$B$32</f>
        <v/>
      </c>
      <c r="C33" s="66">
        <f>IFERROR(B33/$B$9,0)</f>
        <v/>
      </c>
      <c r="D33" s="39" t="n"/>
      <c r="E33" s="4" t="n"/>
      <c r="F33" s="4" t="n"/>
      <c r="G33" s="4" t="n"/>
      <c r="H33" s="4" t="n"/>
    </row>
    <row r="34" ht="20" customHeight="1">
      <c r="A34" s="8" t="inlineStr">
        <is>
          <t>ДОПОЛНИТЕЛЬНЫЕ ДОХОДЫ И ИТОГ</t>
        </is>
      </c>
      <c r="B34" s="9" t="n"/>
      <c r="C34" s="9" t="n"/>
      <c r="D34" s="9" t="n"/>
      <c r="E34" s="4" t="n"/>
      <c r="F34" s="4" t="n"/>
      <c r="G34" s="4" t="n"/>
      <c r="H34" s="4" t="n"/>
    </row>
    <row r="35">
      <c r="A35" s="55" t="inlineStr">
        <is>
          <t>Доп. доходы, остающиеся у организатора</t>
        </is>
      </c>
      <c r="B35" s="45">
        <f>IF(Вводные!$B$38="Да",0,Билеты!$E$32)</f>
        <v/>
      </c>
      <c r="C35" s="21">
        <f>IFERROR(B35/$B$9,0)</f>
        <v/>
      </c>
      <c r="D35" s="18" t="n"/>
      <c r="E35" s="4" t="n"/>
      <c r="F35" s="4" t="n"/>
      <c r="G35" s="4" t="n"/>
      <c r="H35" s="4" t="n"/>
    </row>
    <row r="36">
      <c r="A36" s="55" t="inlineStr">
        <is>
          <t>Налоги и комиссии с доп. доходов (8%)</t>
        </is>
      </c>
      <c r="B36" s="68">
        <f>-Экономика!$B$35*Вводные!$B$32</f>
        <v/>
      </c>
      <c r="C36" s="21">
        <f>IFERROR(B36/$B$9,0)</f>
        <v/>
      </c>
      <c r="D36" s="18" t="n"/>
      <c r="E36" s="4" t="n"/>
      <c r="F36" s="4" t="n"/>
      <c r="G36" s="4" t="n"/>
      <c r="H36" s="4" t="n"/>
    </row>
    <row r="37" ht="26" customHeight="1">
      <c r="A37" s="73" t="inlineStr">
        <is>
          <t>ИТОГО ЧИСТЫЙ ДОХОД ОРГАНИЗАТОРА</t>
        </is>
      </c>
      <c r="B37" s="74">
        <f>Экономика!$B$33+Экономика!$B$35+Экономика!$B$36</f>
        <v/>
      </c>
      <c r="C37" s="75">
        <f>IFERROR(B37/$B$9,0)</f>
        <v/>
      </c>
      <c r="D37" s="62" t="n"/>
      <c r="E37" s="4" t="n"/>
      <c r="F37" s="4" t="n"/>
      <c r="G37" s="4" t="n"/>
      <c r="H37" s="4" t="n"/>
    </row>
    <row r="38">
      <c r="A38" s="4" t="n"/>
      <c r="B38" s="4" t="n"/>
      <c r="C38" s="4" t="n"/>
      <c r="D38" s="4" t="n"/>
      <c r="E38" s="4" t="n"/>
      <c r="F38" s="4" t="n"/>
      <c r="G38" s="4" t="n"/>
      <c r="H38" s="4" t="n"/>
    </row>
    <row r="39" ht="20" customHeight="1">
      <c r="A39" s="8" t="inlineStr">
        <is>
          <t>КЛЮЧЕВЫЕ МЕТРИКИ И ТОЧКА БЕЗУБЫТОЧНОСТИ</t>
        </is>
      </c>
      <c r="B39" s="9" t="n"/>
      <c r="C39" s="9" t="n"/>
      <c r="D39" s="9" t="n"/>
      <c r="E39" s="4" t="n"/>
      <c r="F39" s="4" t="n"/>
      <c r="G39" s="4" t="n"/>
      <c r="H39" s="4" t="n"/>
    </row>
    <row r="40">
      <c r="A40" s="55" t="inlineStr">
        <is>
          <t>Маржинальный доход с одного платного билета, ₽</t>
        </is>
      </c>
      <c r="B40" s="68">
        <f>Экономика!$B$8*(1-IF(Вводные!$B$18=2,Вводные!$B$19*(1-Вводные!$B$20),0)-Вводные!$B$26-Вводные!$B$25)-IFERROR(Вводные!$B$41/Билеты!$B$23,Вводные!$B$41)</f>
        <v/>
      </c>
      <c r="C40" s="18" t="n"/>
      <c r="D40" s="37" t="inlineStr">
        <is>
          <t>Сколько остаётся с билета до постоянных расходов. Это «скорость», с которой окупается смета</t>
        </is>
      </c>
      <c r="E40" s="4" t="n"/>
      <c r="F40" s="4" t="n"/>
      <c r="G40" s="4" t="n"/>
      <c r="H40" s="4" t="n"/>
    </row>
    <row r="41">
      <c r="A41" s="69" t="inlineStr">
        <is>
          <t>Точка безубыточности, платных билетов</t>
        </is>
      </c>
      <c r="B41" s="76">
        <f>IF(Экономика!$B$40&lt;=0,"н/д — билет не покрывает переменные расходы",ROUNDUP(Экономика!$B$24/Экономика!$B$40,0))</f>
        <v/>
      </c>
      <c r="C41" s="18" t="n"/>
      <c r="D41" s="37" t="inlineStr">
        <is>
          <t>Сколько платных билетов надо продать, чтобы выйти в ноль до раздела прибыли</t>
        </is>
      </c>
      <c r="E41" s="4" t="n"/>
      <c r="F41" s="4" t="n"/>
      <c r="G41" s="4" t="n"/>
      <c r="H41" s="4" t="n"/>
    </row>
    <row r="42">
      <c r="A42" s="69" t="inlineStr">
        <is>
          <t>Точка безубыточности, % заполнения зала</t>
        </is>
      </c>
      <c r="B42" s="77">
        <f>IFERROR(Экономика!$B$41/Билеты!$B$23/Вводные!$B$12,0)</f>
        <v/>
      </c>
      <c r="C42" s="18" t="n"/>
      <c r="D42" s="18" t="n"/>
      <c r="E42" s="4" t="n"/>
      <c r="F42" s="4" t="n"/>
      <c r="G42" s="4" t="n"/>
      <c r="H42" s="4" t="n"/>
    </row>
    <row r="43">
      <c r="A43" s="55" t="inlineStr">
        <is>
          <t>Запас прочности (насколько план выше нуля), %</t>
        </is>
      </c>
      <c r="B43" s="30">
        <f>IFERROR((Экономика!$B$7-Экономика!$B$41)/Экономика!$B$7,0)</f>
        <v/>
      </c>
      <c r="C43" s="18" t="n"/>
      <c r="D43" s="37" t="inlineStr">
        <is>
          <t>Меньше 15% — проект висит на волоске: одна отмена промо и вы в минусе</t>
        </is>
      </c>
      <c r="E43" s="4" t="n"/>
      <c r="F43" s="4" t="n"/>
      <c r="G43" s="4" t="n"/>
      <c r="H43" s="4" t="n"/>
    </row>
    <row r="44">
      <c r="A44" s="55" t="inlineStr">
        <is>
          <t>Рентабельность к валовому сбору, %</t>
        </is>
      </c>
      <c r="B44" s="30">
        <f>IFERROR(Экономика!$B$37/Экономика!$B$9,0)</f>
        <v/>
      </c>
      <c r="C44" s="18" t="n"/>
      <c r="D44" s="18" t="n"/>
      <c r="E44" s="4" t="n"/>
      <c r="F44" s="4" t="n"/>
      <c r="G44" s="4" t="n"/>
      <c r="H44" s="4" t="n"/>
    </row>
    <row r="45">
      <c r="A45" s="55" t="inlineStr">
        <is>
          <t>Чистый доход на один проданный билет, ₽</t>
        </is>
      </c>
      <c r="B45" s="68">
        <f>IFERROR(Экономика!$B$37/Экономика!$B$6,0)</f>
        <v/>
      </c>
      <c r="C45" s="18" t="n"/>
      <c r="D45" s="18" t="n"/>
      <c r="E45" s="4" t="n"/>
      <c r="F45" s="4" t="n"/>
      <c r="G45" s="4" t="n"/>
      <c r="H45" s="4" t="n"/>
    </row>
    <row r="46">
      <c r="A46" s="55" t="inlineStr">
        <is>
          <t>Справочно: рыночная стоимость услуг площадки, ₽</t>
        </is>
      </c>
      <c r="B46" s="45">
        <f>Расходы!$E$60</f>
        <v/>
      </c>
      <c r="C46" s="18" t="n"/>
      <c r="D46" s="37" t="inlineStr">
        <is>
          <t>Сравните с долей площадки в прибыли — это база для торга о проценте</t>
        </is>
      </c>
      <c r="E46" s="4" t="n"/>
      <c r="F46" s="4" t="n"/>
      <c r="G46" s="4" t="n"/>
      <c r="H46" s="4" t="n"/>
    </row>
    <row r="47">
      <c r="A47" s="69" t="inlineStr">
        <is>
          <t>ВЕРДИКТ ПО ПРОЕКТУ</t>
        </is>
      </c>
      <c r="B47" s="78">
        <f>IF(Экономика!$B$29&lt;0,"УБЫТОК. Нужно резать смету, поднимать цену или менять условия сделки",IF(Экономика!$B$43&lt;0.15,"НА ГРАНИ. Запас прочности меньше 15% — риск высокий",IF(Экономика!$B$44&lt;0.1,"СЛАБО. Прибыль есть, но рентабельность ниже 10% от сбора","ЗДОРОВО. Проект окупается с приемлемым запасом")))</f>
        <v/>
      </c>
      <c r="C47" s="18" t="n"/>
      <c r="D47" s="18" t="n"/>
      <c r="E47" s="4" t="n"/>
      <c r="F47" s="4" t="n"/>
      <c r="G47" s="4" t="n"/>
      <c r="H47" s="4" t="n"/>
    </row>
  </sheetData>
  <conditionalFormatting sqref="B47">
    <cfRule type="expression" priority="1" dxfId="0">
      <formula>LEFT($B$47,6)="УБЫТОК"</formula>
    </cfRule>
    <cfRule type="expression" priority="2" dxfId="1">
      <formula>LEFT($B$47,7)="ЗДОРОВО"</formula>
    </cfRule>
  </conditionalFormatting>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H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7" customWidth="1" min="2" max="2"/>
    <col width="17" customWidth="1" min="3" max="3"/>
    <col width="17" customWidth="1" min="4" max="4"/>
    <col width="17" customWidth="1" min="5" max="5"/>
    <col width="19" customWidth="1" min="6" max="6"/>
    <col width="50" customWidth="1" min="7" max="7"/>
  </cols>
  <sheetData>
    <row r="1" ht="30" customHeight="1">
      <c r="A1" s="1" t="inlineStr">
        <is>
          <t>СЦЕНАРИИ: ОТ ПРОВАЛА ДО АНШЛАГА</t>
        </is>
      </c>
      <c r="B1" s="2" t="n"/>
      <c r="C1" s="2" t="n"/>
      <c r="D1" s="2" t="n"/>
      <c r="E1" s="2" t="n"/>
      <c r="F1" s="2" t="n"/>
      <c r="G1" s="2" t="n"/>
      <c r="H1" s="2" t="n"/>
    </row>
    <row r="2">
      <c r="A2" s="3" t="inlineStr">
        <is>
          <t>Структура цен и смета во всех сценариях одинаковые — меняется только заполняемость зала. Последний столбец показывает, где проходит граница нуля.</t>
        </is>
      </c>
      <c r="B2" s="4" t="n"/>
      <c r="C2" s="4" t="n"/>
      <c r="D2" s="4" t="n"/>
      <c r="E2" s="4" t="n"/>
      <c r="F2" s="4" t="n"/>
      <c r="G2" s="4" t="n"/>
      <c r="H2" s="4" t="n"/>
    </row>
    <row r="3">
      <c r="A3" s="4" t="n"/>
      <c r="B3" s="4" t="n"/>
      <c r="C3" s="4" t="n"/>
      <c r="D3" s="4" t="n"/>
      <c r="E3" s="4" t="n"/>
      <c r="F3" s="4" t="n"/>
      <c r="G3" s="4" t="n"/>
      <c r="H3" s="4" t="n"/>
    </row>
    <row r="4" ht="30" customHeight="1">
      <c r="A4" s="32" t="inlineStr">
        <is>
          <t>Показатель</t>
        </is>
      </c>
      <c r="B4" s="32" t="inlineStr">
        <is>
          <t>Пессимистичный</t>
        </is>
      </c>
      <c r="C4" s="32" t="inlineStr">
        <is>
          <t>БАЗОВЫЙ</t>
        </is>
      </c>
      <c r="D4" s="32" t="inlineStr">
        <is>
          <t>Оптимистичный</t>
        </is>
      </c>
      <c r="E4" s="32" t="inlineStr">
        <is>
          <t>Аншлаг</t>
        </is>
      </c>
      <c r="F4" s="32" t="inlineStr">
        <is>
          <t>Точка безубыточности</t>
        </is>
      </c>
      <c r="G4" s="32" t="inlineStr">
        <is>
          <t>Комментарий</t>
        </is>
      </c>
      <c r="H4" s="4" t="n"/>
    </row>
    <row r="5">
      <c r="A5" s="26" t="inlineStr">
        <is>
          <t>Заполняемость зала, %</t>
        </is>
      </c>
      <c r="B5" s="36">
        <f>Вводные!$B$13</f>
        <v/>
      </c>
      <c r="C5" s="79">
        <f>Билеты!$B$22</f>
        <v/>
      </c>
      <c r="D5" s="36">
        <f>Вводные!$B$14</f>
        <v/>
      </c>
      <c r="E5" s="36">
        <f>Вводные!$B$15</f>
        <v/>
      </c>
      <c r="F5" s="36">
        <f>Экономика!$B$42</f>
        <v/>
      </c>
      <c r="G5" s="3" t="inlineStr">
        <is>
          <t>Пессимистичный и оптимистичный задаются на листе «Вводные»</t>
        </is>
      </c>
      <c r="H5" s="4" t="n"/>
    </row>
    <row r="6">
      <c r="A6" s="26" t="inlineStr">
        <is>
          <t>Продано билетов всего, шт</t>
        </is>
      </c>
      <c r="B6" s="34">
        <f>ROUND(Вводные!$B$12*B5,0)</f>
        <v/>
      </c>
      <c r="C6" s="80">
        <f>Билеты!$E$12</f>
        <v/>
      </c>
      <c r="D6" s="34">
        <f>ROUND(Вводные!$B$12*D5,0)</f>
        <v/>
      </c>
      <c r="E6" s="34">
        <f>ROUND(Вводные!$B$12*E5,0)</f>
        <v/>
      </c>
      <c r="F6" s="34">
        <f>ROUND(Вводные!$B$12*F5,0)</f>
        <v/>
      </c>
      <c r="G6" s="4" t="n"/>
      <c r="H6" s="4" t="n"/>
    </row>
    <row r="7">
      <c r="A7" s="26" t="inlineStr">
        <is>
          <t xml:space="preserve">   в том числе платных, шт</t>
        </is>
      </c>
      <c r="B7" s="34">
        <f>ROUND(B6*Билеты!$B$23,0)</f>
        <v/>
      </c>
      <c r="C7" s="80">
        <f>Билеты!$B$17</f>
        <v/>
      </c>
      <c r="D7" s="34">
        <f>ROUND(D6*Билеты!$B$23,0)</f>
        <v/>
      </c>
      <c r="E7" s="34">
        <f>ROUND(E6*Билеты!$B$23,0)</f>
        <v/>
      </c>
      <c r="F7" s="34">
        <f>ROUND(F6*Билеты!$B$23,0)</f>
        <v/>
      </c>
      <c r="G7" s="4" t="n"/>
      <c r="H7" s="4" t="n"/>
    </row>
    <row r="8">
      <c r="A8" s="26" t="inlineStr">
        <is>
          <t>Средняя цена платного билета, ₽</t>
        </is>
      </c>
      <c r="B8" s="35">
        <f>Билеты!$B$20</f>
        <v/>
      </c>
      <c r="C8" s="81">
        <f>Билеты!$B$20</f>
        <v/>
      </c>
      <c r="D8" s="35">
        <f>Билеты!$B$20</f>
        <v/>
      </c>
      <c r="E8" s="35">
        <f>Билеты!$B$20</f>
        <v/>
      </c>
      <c r="F8" s="35">
        <f>Билеты!$B$20</f>
        <v/>
      </c>
      <c r="G8" s="4" t="n"/>
      <c r="H8" s="4" t="n"/>
    </row>
    <row r="9">
      <c r="A9" s="6" t="inlineStr">
        <is>
          <t>ВАЛОВОЙ СБОР</t>
        </is>
      </c>
      <c r="B9" s="41">
        <f>B7*B8</f>
        <v/>
      </c>
      <c r="C9" s="82">
        <f>Билеты!$F$12</f>
        <v/>
      </c>
      <c r="D9" s="41">
        <f>D7*D8</f>
        <v/>
      </c>
      <c r="E9" s="41">
        <f>E7*E8</f>
        <v/>
      </c>
      <c r="F9" s="41">
        <f>F7*F8</f>
        <v/>
      </c>
      <c r="G9" s="4" t="n"/>
      <c r="H9" s="4" t="n"/>
    </row>
    <row r="10">
      <c r="A10" s="26" t="inlineStr">
        <is>
          <t xml:space="preserve">   − комиссия билетного оператора</t>
        </is>
      </c>
      <c r="B10" s="35">
        <f>-IF(Вводные!$B$18=2,B9*(1-Вводные!$B$20)*Вводные!$B$19,0)</f>
        <v/>
      </c>
      <c r="C10" s="81">
        <f>-IF(Вводные!$B$18=2,C9*(1-Вводные!$B$20)*Вводные!$B$19,0)</f>
        <v/>
      </c>
      <c r="D10" s="35">
        <f>-IF(Вводные!$B$18=2,D9*(1-Вводные!$B$20)*Вводные!$B$19,0)</f>
        <v/>
      </c>
      <c r="E10" s="35">
        <f>-IF(Вводные!$B$18=2,E9*(1-Вводные!$B$20)*Вводные!$B$19,0)</f>
        <v/>
      </c>
      <c r="F10" s="35">
        <f>-IF(Вводные!$B$18=2,F9*(1-Вводные!$B$20)*Вводные!$B$19,0)</f>
        <v/>
      </c>
      <c r="G10" s="4" t="n"/>
      <c r="H10" s="4" t="n"/>
    </row>
    <row r="11">
      <c r="A11" s="26" t="inlineStr">
        <is>
          <t xml:space="preserve">   − отчисления в РАО</t>
        </is>
      </c>
      <c r="B11" s="35">
        <f>-B9*Вводные!$B$26</f>
        <v/>
      </c>
      <c r="C11" s="81">
        <f>-C9*Вводные!$B$26</f>
        <v/>
      </c>
      <c r="D11" s="35">
        <f>-D9*Вводные!$B$26</f>
        <v/>
      </c>
      <c r="E11" s="35">
        <f>-E9*Вводные!$B$26</f>
        <v/>
      </c>
      <c r="F11" s="35">
        <f>-F9*Вводные!$B$26</f>
        <v/>
      </c>
      <c r="G11" s="4" t="n"/>
      <c r="H11" s="4" t="n"/>
    </row>
    <row r="12">
      <c r="A12" s="26" t="inlineStr">
        <is>
          <t xml:space="preserve">   − УСН 6% с валового сбора</t>
        </is>
      </c>
      <c r="B12" s="35">
        <f>-B9*Вводные!$B$25</f>
        <v/>
      </c>
      <c r="C12" s="81">
        <f>-C9*Вводные!$B$25</f>
        <v/>
      </c>
      <c r="D12" s="35">
        <f>-D9*Вводные!$B$25</f>
        <v/>
      </c>
      <c r="E12" s="35">
        <f>-E9*Вводные!$B$25</f>
        <v/>
      </c>
      <c r="F12" s="35">
        <f>-F9*Вводные!$B$25</f>
        <v/>
      </c>
      <c r="G12" s="4" t="n"/>
      <c r="H12" s="4" t="n"/>
    </row>
    <row r="13">
      <c r="A13" s="6" t="inlineStr">
        <is>
          <t>СБОР ПОСЛЕ ВЫЧЕТОВ</t>
        </is>
      </c>
      <c r="B13" s="41">
        <f>SUM(B9:B12)</f>
        <v/>
      </c>
      <c r="C13" s="82">
        <f>SUM(C9:C12)</f>
        <v/>
      </c>
      <c r="D13" s="41">
        <f>SUM(D9:D12)</f>
        <v/>
      </c>
      <c r="E13" s="41">
        <f>SUM(E9:E12)</f>
        <v/>
      </c>
      <c r="F13" s="41">
        <f>SUM(F9:F12)</f>
        <v/>
      </c>
      <c r="G13" s="4" t="n"/>
      <c r="H13" s="4" t="n"/>
    </row>
    <row r="14">
      <c r="A14" s="26" t="inlineStr">
        <is>
          <t xml:space="preserve">   − постоянные расходы (смета)</t>
        </is>
      </c>
      <c r="B14" s="35">
        <f>-Расходы!$E$58</f>
        <v/>
      </c>
      <c r="C14" s="81">
        <f>-Расходы!$E$58</f>
        <v/>
      </c>
      <c r="D14" s="35">
        <f>-Расходы!$E$58</f>
        <v/>
      </c>
      <c r="E14" s="35">
        <f>-Расходы!$E$58</f>
        <v/>
      </c>
      <c r="F14" s="35">
        <f>-Расходы!$E$58</f>
        <v/>
      </c>
      <c r="G14" s="4" t="n"/>
      <c r="H14" s="4" t="n"/>
    </row>
    <row r="15">
      <c r="A15" s="26" t="inlineStr">
        <is>
          <t xml:space="preserve">   − переменные расходы на гостей</t>
        </is>
      </c>
      <c r="B15" s="35">
        <f>-B6*Вводные!$B$41</f>
        <v/>
      </c>
      <c r="C15" s="81">
        <f>-C6*Вводные!$B$41</f>
        <v/>
      </c>
      <c r="D15" s="35">
        <f>-D6*Вводные!$B$41</f>
        <v/>
      </c>
      <c r="E15" s="35">
        <f>-E6*Вводные!$B$41</f>
        <v/>
      </c>
      <c r="F15" s="35">
        <f>-F6*Вводные!$B$41</f>
        <v/>
      </c>
      <c r="G15" s="4" t="n"/>
      <c r="H15" s="4" t="n"/>
    </row>
    <row r="16">
      <c r="A16" s="26" t="inlineStr">
        <is>
          <t xml:space="preserve">   + доп. доходы, участвующие в разделе</t>
        </is>
      </c>
      <c r="B16" s="35">
        <f>IF(Вводные!$B$38="Да",Билеты!$E$32*(1-Вводные!$B$25),0)</f>
        <v/>
      </c>
      <c r="C16" s="81">
        <f>IF(Вводные!$B$38="Да",Билеты!$E$32*(1-Вводные!$B$25),0)</f>
        <v/>
      </c>
      <c r="D16" s="35">
        <f>IF(Вводные!$B$38="Да",Билеты!$E$32*(1-Вводные!$B$25),0)</f>
        <v/>
      </c>
      <c r="E16" s="35">
        <f>IF(Вводные!$B$38="Да",Билеты!$E$32*(1-Вводные!$B$25),0)</f>
        <v/>
      </c>
      <c r="F16" s="35">
        <f>IF(Вводные!$B$38="Да",Билеты!$E$32*(1-Вводные!$B$25),0)</f>
        <v/>
      </c>
      <c r="G16" s="4" t="n"/>
      <c r="H16" s="4" t="n"/>
    </row>
    <row r="17">
      <c r="A17" s="6" t="inlineStr">
        <is>
          <t>ПРИБЫЛЬ К РАЗДЕЛУ</t>
        </is>
      </c>
      <c r="B17" s="41">
        <f>SUM(B13:B16)</f>
        <v/>
      </c>
      <c r="C17" s="82">
        <f>SUM(C13:C16)</f>
        <v/>
      </c>
      <c r="D17" s="41">
        <f>SUM(D13:D16)</f>
        <v/>
      </c>
      <c r="E17" s="41">
        <f>SUM(E13:E16)</f>
        <v/>
      </c>
      <c r="F17" s="41">
        <f>SUM(F13:F16)</f>
        <v/>
      </c>
      <c r="G17" s="3" t="inlineStr">
        <is>
          <t>Именно эта строка делится с площадкой пополам</t>
        </is>
      </c>
      <c r="H17" s="4" t="n"/>
    </row>
    <row r="18">
      <c r="A18" s="26" t="inlineStr">
        <is>
          <t xml:space="preserve">   доля площадки</t>
        </is>
      </c>
      <c r="B18" s="35">
        <f>IF(B17&gt;=0,B17*Вводные!$B$36,IF(Вводные!$B$37="Да",B17*Вводные!$B$36,0))</f>
        <v/>
      </c>
      <c r="C18" s="81">
        <f>IF(C17&gt;=0,C17*Вводные!$B$36,IF(Вводные!$B$37="Да",C17*Вводные!$B$36,0))</f>
        <v/>
      </c>
      <c r="D18" s="35">
        <f>IF(D17&gt;=0,D17*Вводные!$B$36,IF(Вводные!$B$37="Да",D17*Вводные!$B$36,0))</f>
        <v/>
      </c>
      <c r="E18" s="35">
        <f>IF(E17&gt;=0,E17*Вводные!$B$36,IF(Вводные!$B$37="Да",E17*Вводные!$B$36,0))</f>
        <v/>
      </c>
      <c r="F18" s="35">
        <f>IF(F17&gt;=0,F17*Вводные!$B$36,IF(Вводные!$B$37="Да",F17*Вводные!$B$36,0))</f>
        <v/>
      </c>
      <c r="G18" s="3" t="inlineStr">
        <is>
          <t>При убытке площадка не участвует, если в договоре не сказано иное</t>
        </is>
      </c>
      <c r="H18" s="4" t="n"/>
    </row>
    <row r="19">
      <c r="A19" s="26" t="inlineStr">
        <is>
          <t xml:space="preserve">   доля организатора (выплата по договору)</t>
        </is>
      </c>
      <c r="B19" s="35">
        <f>B17-B18</f>
        <v/>
      </c>
      <c r="C19" s="81">
        <f>C17-C18</f>
        <v/>
      </c>
      <c r="D19" s="35">
        <f>D17-D18</f>
        <v/>
      </c>
      <c r="E19" s="35">
        <f>E17-E18</f>
        <v/>
      </c>
      <c r="F19" s="35">
        <f>F17-F18</f>
        <v/>
      </c>
      <c r="G19" s="4" t="n"/>
      <c r="H19" s="4" t="n"/>
    </row>
    <row r="20">
      <c r="A20" s="26" t="inlineStr">
        <is>
          <t xml:space="preserve">   − налог и комиссии с выплаты (8%)</t>
        </is>
      </c>
      <c r="B20" s="35">
        <f>-MAX(0,B19)*Вводные!$B$32</f>
        <v/>
      </c>
      <c r="C20" s="81">
        <f>-MAX(0,C19)*Вводные!$B$32</f>
        <v/>
      </c>
      <c r="D20" s="35">
        <f>-MAX(0,D19)*Вводные!$B$32</f>
        <v/>
      </c>
      <c r="E20" s="35">
        <f>-MAX(0,E19)*Вводные!$B$32</f>
        <v/>
      </c>
      <c r="F20" s="35">
        <f>-MAX(0,F19)*Вводные!$B$32</f>
        <v/>
      </c>
      <c r="G20" s="4" t="n"/>
      <c r="H20" s="4" t="n"/>
    </row>
    <row r="21">
      <c r="A21" s="26" t="inlineStr">
        <is>
          <t>Чистый доход от билетов</t>
        </is>
      </c>
      <c r="B21" s="35">
        <f>B19+B20</f>
        <v/>
      </c>
      <c r="C21" s="81">
        <f>C19+C20</f>
        <v/>
      </c>
      <c r="D21" s="35">
        <f>D19+D20</f>
        <v/>
      </c>
      <c r="E21" s="35">
        <f>E19+E20</f>
        <v/>
      </c>
      <c r="F21" s="35">
        <f>F19+F20</f>
        <v/>
      </c>
      <c r="G21" s="4" t="n"/>
      <c r="H21" s="4" t="n"/>
    </row>
    <row r="22">
      <c r="A22" s="26" t="inlineStr">
        <is>
          <t xml:space="preserve">   + доп. доходы вне раздела (за вычетом 8%)</t>
        </is>
      </c>
      <c r="B22" s="35">
        <f>IF(Вводные!$B$38="Да",0,Билеты!$E$32)*(1-Вводные!$B$32)</f>
        <v/>
      </c>
      <c r="C22" s="81">
        <f>IF(Вводные!$B$38="Да",0,Билеты!$E$32)*(1-Вводные!$B$32)</f>
        <v/>
      </c>
      <c r="D22" s="35">
        <f>IF(Вводные!$B$38="Да",0,Билеты!$E$32)*(1-Вводные!$B$32)</f>
        <v/>
      </c>
      <c r="E22" s="35">
        <f>IF(Вводные!$B$38="Да",0,Билеты!$E$32)*(1-Вводные!$B$32)</f>
        <v/>
      </c>
      <c r="F22" s="35">
        <f>IF(Вводные!$B$38="Да",0,Билеты!$E$32)*(1-Вводные!$B$32)</f>
        <v/>
      </c>
      <c r="G22" s="4" t="n"/>
      <c r="H22" s="4" t="n"/>
    </row>
    <row r="23" ht="22" customHeight="1">
      <c r="A23" s="6" t="inlineStr">
        <is>
          <t>ИТОГО ЧИСТЫЙ ДОХОД ОРГАНИЗАТОРА</t>
        </is>
      </c>
      <c r="B23" s="83">
        <f>B21+B22</f>
        <v/>
      </c>
      <c r="C23" s="84">
        <f>C21+C22</f>
        <v/>
      </c>
      <c r="D23" s="83">
        <f>D21+D22</f>
        <v/>
      </c>
      <c r="E23" s="83">
        <f>E21+E22</f>
        <v/>
      </c>
      <c r="F23" s="83">
        <f>F21+F22</f>
        <v/>
      </c>
      <c r="G23" s="3" t="inlineStr">
        <is>
          <t>Деньги, которые реально останутся у вас после всех налогов</t>
        </is>
      </c>
      <c r="H23" s="4" t="n"/>
    </row>
    <row r="24">
      <c r="A24" s="26" t="inlineStr">
        <is>
          <t>Рентабельность к валовому сбору, %</t>
        </is>
      </c>
      <c r="B24" s="36">
        <f>IFERROR(B23/B9,0)</f>
        <v/>
      </c>
      <c r="C24" s="79">
        <f>IFERROR(C23/C9,0)</f>
        <v/>
      </c>
      <c r="D24" s="36">
        <f>IFERROR(D23/D9,0)</f>
        <v/>
      </c>
      <c r="E24" s="36">
        <f>IFERROR(E23/E9,0)</f>
        <v/>
      </c>
      <c r="F24" s="36">
        <f>IFERROR(F23/F9,0)</f>
        <v/>
      </c>
      <c r="G24" s="4" t="n"/>
      <c r="H24" s="4" t="n"/>
    </row>
    <row r="25">
      <c r="A25" s="26" t="inlineStr">
        <is>
          <t>Отклонение от базового сценария, ₽</t>
        </is>
      </c>
      <c r="B25" s="35">
        <f>B23-$C$23</f>
        <v/>
      </c>
      <c r="C25" s="35">
        <f>C23-$C$23</f>
        <v/>
      </c>
      <c r="D25" s="35">
        <f>D23-$C$23</f>
        <v/>
      </c>
      <c r="E25" s="35">
        <f>E23-$C$23</f>
        <v/>
      </c>
      <c r="F25" s="35">
        <f>F23-$C$23</f>
        <v/>
      </c>
      <c r="G25" s="3" t="inlineStr">
        <is>
          <t>Цена риска: разброс между сценариями</t>
        </is>
      </c>
      <c r="H25" s="4" t="n"/>
    </row>
  </sheetData>
  <conditionalFormatting sqref="B23:F23">
    <cfRule type="cellIs" priority="1" operator="lessThan" dxfId="0">
      <formula>0</formula>
    </cfRule>
  </conditionalFormatting>
  <conditionalFormatting sqref="B17:F17">
    <cfRule type="cellIs" priority="2" operator="lessThan" dxfId="0">
      <formula>0</formula>
    </cfRule>
  </conditionalFormatting>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H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30" customHeight="1">
      <c r="A1" s="1" t="inlineStr">
        <is>
          <t>ЧУВСТВИТЕЛЬНОСТЬ: ЦЕНА ПРОТИВ ЗАПОЛНЯЕМОСТИ</t>
        </is>
      </c>
      <c r="B1" s="2" t="n"/>
      <c r="C1" s="2" t="n"/>
      <c r="D1" s="2" t="n"/>
      <c r="E1" s="2" t="n"/>
      <c r="F1" s="2" t="n"/>
      <c r="G1" s="2" t="n"/>
      <c r="H1" s="2" t="n"/>
    </row>
    <row r="2">
      <c r="A2" s="3" t="inlineStr">
        <is>
          <t>Что будет с вашим чистым доходом при разной средней цене билета и разной заполняемости зала. Зелёное — прибыль, красное — убыток.</t>
        </is>
      </c>
      <c r="B2" s="4" t="n"/>
      <c r="C2" s="4" t="n"/>
      <c r="D2" s="4" t="n"/>
      <c r="E2" s="4" t="n"/>
      <c r="F2" s="4" t="n"/>
      <c r="G2" s="4" t="n"/>
      <c r="H2" s="4" t="n"/>
    </row>
    <row r="3">
      <c r="A3" s="4" t="n"/>
      <c r="B3" s="4" t="n"/>
      <c r="C3" s="4" t="n"/>
      <c r="D3" s="4" t="n"/>
      <c r="E3" s="4" t="n"/>
      <c r="F3" s="4" t="n"/>
      <c r="G3" s="4" t="n"/>
      <c r="H3" s="4" t="n"/>
    </row>
    <row r="4">
      <c r="A4" s="85" t="inlineStr">
        <is>
          <t>ПРИБЫЛЬ К РАЗДЕЛУ С ПЛОЩАДКОЙ (до сплита и налога уровня 2), ₽</t>
        </is>
      </c>
      <c r="B4" s="4" t="n"/>
      <c r="C4" s="4" t="n"/>
      <c r="D4" s="4" t="n"/>
      <c r="E4" s="4" t="n"/>
      <c r="F4" s="4" t="n"/>
      <c r="G4" s="4" t="n"/>
      <c r="H4" s="4" t="n"/>
    </row>
    <row r="5" ht="32" customHeight="1">
      <c r="A5" s="32" t="inlineStr">
        <is>
          <t>Заполняемость \ Средняя цена</t>
        </is>
      </c>
      <c r="B5" s="86" t="n">
        <v>1500</v>
      </c>
      <c r="C5" s="86" t="n">
        <v>2000</v>
      </c>
      <c r="D5" s="86" t="n">
        <v>2500</v>
      </c>
      <c r="E5" s="86" t="n">
        <v>3000</v>
      </c>
      <c r="F5" s="86" t="n">
        <v>3500</v>
      </c>
      <c r="G5" s="86" t="n">
        <v>4000</v>
      </c>
      <c r="H5" s="86" t="n">
        <v>4500</v>
      </c>
    </row>
    <row r="6">
      <c r="A6" s="87" t="n">
        <v>0.3</v>
      </c>
      <c r="B6" s="35">
        <f>((Вводные!$B$12*$A6*Билеты!$B$23)*B$5)-IF(Вводные!$B$18=2,((Вводные!$B$12*$A6*Билеты!$B$23)*B$5)*(1-Вводные!$B$20)*Вводные!$B$19,0)-((Вводные!$B$12*$A6*Билеты!$B$23)*B$5)*Вводные!$B$26-((Вводные!$B$12*$A6*Билеты!$B$23)*B$5)*Вводные!$B$25-(Вводные!$B$12*$A6)*Вводные!$B$41-Расходы!$E$58+IF(Вводные!$B$38="Да",Билеты!$E$32*(1-Вводные!$B$25),0)</f>
        <v/>
      </c>
      <c r="C6" s="35">
        <f>((Вводные!$B$12*$A6*Билеты!$B$23)*C$5)-IF(Вводные!$B$18=2,((Вводные!$B$12*$A6*Билеты!$B$23)*C$5)*(1-Вводные!$B$20)*Вводные!$B$19,0)-((Вводные!$B$12*$A6*Билеты!$B$23)*C$5)*Вводные!$B$26-((Вводные!$B$12*$A6*Билеты!$B$23)*C$5)*Вводные!$B$25-(Вводные!$B$12*$A6)*Вводные!$B$41-Расходы!$E$58+IF(Вводные!$B$38="Да",Билеты!$E$32*(1-Вводные!$B$25),0)</f>
        <v/>
      </c>
      <c r="D6" s="35">
        <f>((Вводные!$B$12*$A6*Билеты!$B$23)*D$5)-IF(Вводные!$B$18=2,((Вводные!$B$12*$A6*Билеты!$B$23)*D$5)*(1-Вводные!$B$20)*Вводные!$B$19,0)-((Вводные!$B$12*$A6*Билеты!$B$23)*D$5)*Вводные!$B$26-((Вводные!$B$12*$A6*Билеты!$B$23)*D$5)*Вводные!$B$25-(Вводные!$B$12*$A6)*Вводные!$B$41-Расходы!$E$58+IF(Вводные!$B$38="Да",Билеты!$E$32*(1-Вводные!$B$25),0)</f>
        <v/>
      </c>
      <c r="E6" s="35">
        <f>((Вводные!$B$12*$A6*Билеты!$B$23)*E$5)-IF(Вводные!$B$18=2,((Вводные!$B$12*$A6*Билеты!$B$23)*E$5)*(1-Вводные!$B$20)*Вводные!$B$19,0)-((Вводные!$B$12*$A6*Билеты!$B$23)*E$5)*Вводные!$B$26-((Вводные!$B$12*$A6*Билеты!$B$23)*E$5)*Вводные!$B$25-(Вводные!$B$12*$A6)*Вводные!$B$41-Расходы!$E$58+IF(Вводные!$B$38="Да",Билеты!$E$32*(1-Вводные!$B$25),0)</f>
        <v/>
      </c>
      <c r="F6" s="35">
        <f>((Вводные!$B$12*$A6*Билеты!$B$23)*F$5)-IF(Вводные!$B$18=2,((Вводные!$B$12*$A6*Билеты!$B$23)*F$5)*(1-Вводные!$B$20)*Вводные!$B$19,0)-((Вводные!$B$12*$A6*Билеты!$B$23)*F$5)*Вводные!$B$26-((Вводные!$B$12*$A6*Билеты!$B$23)*F$5)*Вводные!$B$25-(Вводные!$B$12*$A6)*Вводные!$B$41-Расходы!$E$58+IF(Вводные!$B$38="Да",Билеты!$E$32*(1-Вводные!$B$25),0)</f>
        <v/>
      </c>
      <c r="G6" s="35">
        <f>((Вводные!$B$12*$A6*Билеты!$B$23)*G$5)-IF(Вводные!$B$18=2,((Вводные!$B$12*$A6*Билеты!$B$23)*G$5)*(1-Вводные!$B$20)*Вводные!$B$19,0)-((Вводные!$B$12*$A6*Билеты!$B$23)*G$5)*Вводные!$B$26-((Вводные!$B$12*$A6*Билеты!$B$23)*G$5)*Вводные!$B$25-(Вводные!$B$12*$A6)*Вводные!$B$41-Расходы!$E$58+IF(Вводные!$B$38="Да",Билеты!$E$32*(1-Вводные!$B$25),0)</f>
        <v/>
      </c>
      <c r="H6" s="35">
        <f>((Вводные!$B$12*$A6*Билеты!$B$23)*H$5)-IF(Вводные!$B$18=2,((Вводные!$B$12*$A6*Билеты!$B$23)*H$5)*(1-Вводные!$B$20)*Вводные!$B$19,0)-((Вводные!$B$12*$A6*Билеты!$B$23)*H$5)*Вводные!$B$26-((Вводные!$B$12*$A6*Билеты!$B$23)*H$5)*Вводные!$B$25-(Вводные!$B$12*$A6)*Вводные!$B$41-Расходы!$E$58+IF(Вводные!$B$38="Да",Билеты!$E$32*(1-Вводные!$B$25),0)</f>
        <v/>
      </c>
    </row>
    <row r="7">
      <c r="A7" s="87" t="n">
        <v>0.4</v>
      </c>
      <c r="B7" s="35">
        <f>((Вводные!$B$12*$A7*Билеты!$B$23)*B$5)-IF(Вводные!$B$18=2,((Вводные!$B$12*$A7*Билеты!$B$23)*B$5)*(1-Вводные!$B$20)*Вводные!$B$19,0)-((Вводные!$B$12*$A7*Билеты!$B$23)*B$5)*Вводные!$B$26-((Вводные!$B$12*$A7*Билеты!$B$23)*B$5)*Вводные!$B$25-(Вводные!$B$12*$A7)*Вводные!$B$41-Расходы!$E$58+IF(Вводные!$B$38="Да",Билеты!$E$32*(1-Вводные!$B$25),0)</f>
        <v/>
      </c>
      <c r="C7" s="35">
        <f>((Вводные!$B$12*$A7*Билеты!$B$23)*C$5)-IF(Вводные!$B$18=2,((Вводные!$B$12*$A7*Билеты!$B$23)*C$5)*(1-Вводные!$B$20)*Вводные!$B$19,0)-((Вводные!$B$12*$A7*Билеты!$B$23)*C$5)*Вводные!$B$26-((Вводные!$B$12*$A7*Билеты!$B$23)*C$5)*Вводные!$B$25-(Вводные!$B$12*$A7)*Вводные!$B$41-Расходы!$E$58+IF(Вводные!$B$38="Да",Билеты!$E$32*(1-Вводные!$B$25),0)</f>
        <v/>
      </c>
      <c r="D7" s="35">
        <f>((Вводные!$B$12*$A7*Билеты!$B$23)*D$5)-IF(Вводные!$B$18=2,((Вводные!$B$12*$A7*Билеты!$B$23)*D$5)*(1-Вводные!$B$20)*Вводные!$B$19,0)-((Вводные!$B$12*$A7*Билеты!$B$23)*D$5)*Вводные!$B$26-((Вводные!$B$12*$A7*Билеты!$B$23)*D$5)*Вводные!$B$25-(Вводные!$B$12*$A7)*Вводные!$B$41-Расходы!$E$58+IF(Вводные!$B$38="Да",Билеты!$E$32*(1-Вводные!$B$25),0)</f>
        <v/>
      </c>
      <c r="E7" s="35">
        <f>((Вводные!$B$12*$A7*Билеты!$B$23)*E$5)-IF(Вводные!$B$18=2,((Вводные!$B$12*$A7*Билеты!$B$23)*E$5)*(1-Вводные!$B$20)*Вводные!$B$19,0)-((Вводные!$B$12*$A7*Билеты!$B$23)*E$5)*Вводные!$B$26-((Вводные!$B$12*$A7*Билеты!$B$23)*E$5)*Вводные!$B$25-(Вводные!$B$12*$A7)*Вводные!$B$41-Расходы!$E$58+IF(Вводные!$B$38="Да",Билеты!$E$32*(1-Вводные!$B$25),0)</f>
        <v/>
      </c>
      <c r="F7" s="35">
        <f>((Вводные!$B$12*$A7*Билеты!$B$23)*F$5)-IF(Вводные!$B$18=2,((Вводные!$B$12*$A7*Билеты!$B$23)*F$5)*(1-Вводные!$B$20)*Вводные!$B$19,0)-((Вводные!$B$12*$A7*Билеты!$B$23)*F$5)*Вводные!$B$26-((Вводные!$B$12*$A7*Билеты!$B$23)*F$5)*Вводные!$B$25-(Вводные!$B$12*$A7)*Вводные!$B$41-Расходы!$E$58+IF(Вводные!$B$38="Да",Билеты!$E$32*(1-Вводные!$B$25),0)</f>
        <v/>
      </c>
      <c r="G7" s="35">
        <f>((Вводные!$B$12*$A7*Билеты!$B$23)*G$5)-IF(Вводные!$B$18=2,((Вводные!$B$12*$A7*Билеты!$B$23)*G$5)*(1-Вводные!$B$20)*Вводные!$B$19,0)-((Вводные!$B$12*$A7*Билеты!$B$23)*G$5)*Вводные!$B$26-((Вводные!$B$12*$A7*Билеты!$B$23)*G$5)*Вводные!$B$25-(Вводные!$B$12*$A7)*Вводные!$B$41-Расходы!$E$58+IF(Вводные!$B$38="Да",Билеты!$E$32*(1-Вводные!$B$25),0)</f>
        <v/>
      </c>
      <c r="H7" s="35">
        <f>((Вводные!$B$12*$A7*Билеты!$B$23)*H$5)-IF(Вводные!$B$18=2,((Вводные!$B$12*$A7*Билеты!$B$23)*H$5)*(1-Вводные!$B$20)*Вводные!$B$19,0)-((Вводные!$B$12*$A7*Билеты!$B$23)*H$5)*Вводные!$B$26-((Вводные!$B$12*$A7*Билеты!$B$23)*H$5)*Вводные!$B$25-(Вводные!$B$12*$A7)*Вводные!$B$41-Расходы!$E$58+IF(Вводные!$B$38="Да",Билеты!$E$32*(1-Вводные!$B$25),0)</f>
        <v/>
      </c>
    </row>
    <row r="8">
      <c r="A8" s="87" t="n">
        <v>0.5</v>
      </c>
      <c r="B8" s="35">
        <f>((Вводные!$B$12*$A8*Билеты!$B$23)*B$5)-IF(Вводные!$B$18=2,((Вводные!$B$12*$A8*Билеты!$B$23)*B$5)*(1-Вводные!$B$20)*Вводные!$B$19,0)-((Вводные!$B$12*$A8*Билеты!$B$23)*B$5)*Вводные!$B$26-((Вводные!$B$12*$A8*Билеты!$B$23)*B$5)*Вводные!$B$25-(Вводные!$B$12*$A8)*Вводные!$B$41-Расходы!$E$58+IF(Вводные!$B$38="Да",Билеты!$E$32*(1-Вводные!$B$25),0)</f>
        <v/>
      </c>
      <c r="C8" s="35">
        <f>((Вводные!$B$12*$A8*Билеты!$B$23)*C$5)-IF(Вводные!$B$18=2,((Вводные!$B$12*$A8*Билеты!$B$23)*C$5)*(1-Вводные!$B$20)*Вводные!$B$19,0)-((Вводные!$B$12*$A8*Билеты!$B$23)*C$5)*Вводные!$B$26-((Вводные!$B$12*$A8*Билеты!$B$23)*C$5)*Вводные!$B$25-(Вводные!$B$12*$A8)*Вводные!$B$41-Расходы!$E$58+IF(Вводные!$B$38="Да",Билеты!$E$32*(1-Вводные!$B$25),0)</f>
        <v/>
      </c>
      <c r="D8" s="35">
        <f>((Вводные!$B$12*$A8*Билеты!$B$23)*D$5)-IF(Вводные!$B$18=2,((Вводные!$B$12*$A8*Билеты!$B$23)*D$5)*(1-Вводные!$B$20)*Вводные!$B$19,0)-((Вводные!$B$12*$A8*Билеты!$B$23)*D$5)*Вводные!$B$26-((Вводные!$B$12*$A8*Билеты!$B$23)*D$5)*Вводные!$B$25-(Вводные!$B$12*$A8)*Вводные!$B$41-Расходы!$E$58+IF(Вводные!$B$38="Да",Билеты!$E$32*(1-Вводные!$B$25),0)</f>
        <v/>
      </c>
      <c r="E8" s="35">
        <f>((Вводные!$B$12*$A8*Билеты!$B$23)*E$5)-IF(Вводные!$B$18=2,((Вводные!$B$12*$A8*Билеты!$B$23)*E$5)*(1-Вводные!$B$20)*Вводные!$B$19,0)-((Вводные!$B$12*$A8*Билеты!$B$23)*E$5)*Вводные!$B$26-((Вводные!$B$12*$A8*Билеты!$B$23)*E$5)*Вводные!$B$25-(Вводные!$B$12*$A8)*Вводные!$B$41-Расходы!$E$58+IF(Вводные!$B$38="Да",Билеты!$E$32*(1-Вводные!$B$25),0)</f>
        <v/>
      </c>
      <c r="F8" s="35">
        <f>((Вводные!$B$12*$A8*Билеты!$B$23)*F$5)-IF(Вводные!$B$18=2,((Вводные!$B$12*$A8*Билеты!$B$23)*F$5)*(1-Вводные!$B$20)*Вводные!$B$19,0)-((Вводные!$B$12*$A8*Билеты!$B$23)*F$5)*Вводные!$B$26-((Вводные!$B$12*$A8*Билеты!$B$23)*F$5)*Вводные!$B$25-(Вводные!$B$12*$A8)*Вводные!$B$41-Расходы!$E$58+IF(Вводные!$B$38="Да",Билеты!$E$32*(1-Вводные!$B$25),0)</f>
        <v/>
      </c>
      <c r="G8" s="35">
        <f>((Вводные!$B$12*$A8*Билеты!$B$23)*G$5)-IF(Вводные!$B$18=2,((Вводные!$B$12*$A8*Билеты!$B$23)*G$5)*(1-Вводные!$B$20)*Вводные!$B$19,0)-((Вводные!$B$12*$A8*Билеты!$B$23)*G$5)*Вводные!$B$26-((Вводные!$B$12*$A8*Билеты!$B$23)*G$5)*Вводные!$B$25-(Вводные!$B$12*$A8)*Вводные!$B$41-Расходы!$E$58+IF(Вводные!$B$38="Да",Билеты!$E$32*(1-Вводные!$B$25),0)</f>
        <v/>
      </c>
      <c r="H8" s="35">
        <f>((Вводные!$B$12*$A8*Билеты!$B$23)*H$5)-IF(Вводные!$B$18=2,((Вводные!$B$12*$A8*Билеты!$B$23)*H$5)*(1-Вводные!$B$20)*Вводные!$B$19,0)-((Вводные!$B$12*$A8*Билеты!$B$23)*H$5)*Вводные!$B$26-((Вводные!$B$12*$A8*Билеты!$B$23)*H$5)*Вводные!$B$25-(Вводные!$B$12*$A8)*Вводные!$B$41-Расходы!$E$58+IF(Вводные!$B$38="Да",Билеты!$E$32*(1-Вводные!$B$25),0)</f>
        <v/>
      </c>
    </row>
    <row r="9">
      <c r="A9" s="87" t="n">
        <v>0.6</v>
      </c>
      <c r="B9" s="35">
        <f>((Вводные!$B$12*$A9*Билеты!$B$23)*B$5)-IF(Вводные!$B$18=2,((Вводные!$B$12*$A9*Билеты!$B$23)*B$5)*(1-Вводные!$B$20)*Вводные!$B$19,0)-((Вводные!$B$12*$A9*Билеты!$B$23)*B$5)*Вводные!$B$26-((Вводные!$B$12*$A9*Билеты!$B$23)*B$5)*Вводные!$B$25-(Вводные!$B$12*$A9)*Вводные!$B$41-Расходы!$E$58+IF(Вводные!$B$38="Да",Билеты!$E$32*(1-Вводные!$B$25),0)</f>
        <v/>
      </c>
      <c r="C9" s="35">
        <f>((Вводные!$B$12*$A9*Билеты!$B$23)*C$5)-IF(Вводные!$B$18=2,((Вводные!$B$12*$A9*Билеты!$B$23)*C$5)*(1-Вводные!$B$20)*Вводные!$B$19,0)-((Вводные!$B$12*$A9*Билеты!$B$23)*C$5)*Вводные!$B$26-((Вводные!$B$12*$A9*Билеты!$B$23)*C$5)*Вводные!$B$25-(Вводные!$B$12*$A9)*Вводные!$B$41-Расходы!$E$58+IF(Вводные!$B$38="Да",Билеты!$E$32*(1-Вводные!$B$25),0)</f>
        <v/>
      </c>
      <c r="D9" s="35">
        <f>((Вводные!$B$12*$A9*Билеты!$B$23)*D$5)-IF(Вводные!$B$18=2,((Вводные!$B$12*$A9*Билеты!$B$23)*D$5)*(1-Вводные!$B$20)*Вводные!$B$19,0)-((Вводные!$B$12*$A9*Билеты!$B$23)*D$5)*Вводные!$B$26-((Вводные!$B$12*$A9*Билеты!$B$23)*D$5)*Вводные!$B$25-(Вводные!$B$12*$A9)*Вводные!$B$41-Расходы!$E$58+IF(Вводные!$B$38="Да",Билеты!$E$32*(1-Вводные!$B$25),0)</f>
        <v/>
      </c>
      <c r="E9" s="35">
        <f>((Вводные!$B$12*$A9*Билеты!$B$23)*E$5)-IF(Вводные!$B$18=2,((Вводные!$B$12*$A9*Билеты!$B$23)*E$5)*(1-Вводные!$B$20)*Вводные!$B$19,0)-((Вводные!$B$12*$A9*Билеты!$B$23)*E$5)*Вводные!$B$26-((Вводные!$B$12*$A9*Билеты!$B$23)*E$5)*Вводные!$B$25-(Вводные!$B$12*$A9)*Вводные!$B$41-Расходы!$E$58+IF(Вводные!$B$38="Да",Билеты!$E$32*(1-Вводные!$B$25),0)</f>
        <v/>
      </c>
      <c r="F9" s="35">
        <f>((Вводные!$B$12*$A9*Билеты!$B$23)*F$5)-IF(Вводные!$B$18=2,((Вводные!$B$12*$A9*Билеты!$B$23)*F$5)*(1-Вводные!$B$20)*Вводные!$B$19,0)-((Вводные!$B$12*$A9*Билеты!$B$23)*F$5)*Вводные!$B$26-((Вводные!$B$12*$A9*Билеты!$B$23)*F$5)*Вводные!$B$25-(Вводные!$B$12*$A9)*Вводные!$B$41-Расходы!$E$58+IF(Вводные!$B$38="Да",Билеты!$E$32*(1-Вводные!$B$25),0)</f>
        <v/>
      </c>
      <c r="G9" s="35">
        <f>((Вводные!$B$12*$A9*Билеты!$B$23)*G$5)-IF(Вводные!$B$18=2,((Вводные!$B$12*$A9*Билеты!$B$23)*G$5)*(1-Вводные!$B$20)*Вводные!$B$19,0)-((Вводные!$B$12*$A9*Билеты!$B$23)*G$5)*Вводные!$B$26-((Вводные!$B$12*$A9*Билеты!$B$23)*G$5)*Вводные!$B$25-(Вводные!$B$12*$A9)*Вводные!$B$41-Расходы!$E$58+IF(Вводные!$B$38="Да",Билеты!$E$32*(1-Вводные!$B$25),0)</f>
        <v/>
      </c>
      <c r="H9" s="35">
        <f>((Вводные!$B$12*$A9*Билеты!$B$23)*H$5)-IF(Вводные!$B$18=2,((Вводные!$B$12*$A9*Билеты!$B$23)*H$5)*(1-Вводные!$B$20)*Вводные!$B$19,0)-((Вводные!$B$12*$A9*Билеты!$B$23)*H$5)*Вводные!$B$26-((Вводные!$B$12*$A9*Билеты!$B$23)*H$5)*Вводные!$B$25-(Вводные!$B$12*$A9)*Вводные!$B$41-Расходы!$E$58+IF(Вводные!$B$38="Да",Билеты!$E$32*(1-Вводные!$B$25),0)</f>
        <v/>
      </c>
    </row>
    <row r="10">
      <c r="A10" s="87" t="n">
        <v>0.7</v>
      </c>
      <c r="B10" s="35">
        <f>((Вводные!$B$12*$A10*Билеты!$B$23)*B$5)-IF(Вводные!$B$18=2,((Вводные!$B$12*$A10*Билеты!$B$23)*B$5)*(1-Вводные!$B$20)*Вводные!$B$19,0)-((Вводные!$B$12*$A10*Билеты!$B$23)*B$5)*Вводные!$B$26-((Вводные!$B$12*$A10*Билеты!$B$23)*B$5)*Вводные!$B$25-(Вводные!$B$12*$A10)*Вводные!$B$41-Расходы!$E$58+IF(Вводные!$B$38="Да",Билеты!$E$32*(1-Вводные!$B$25),0)</f>
        <v/>
      </c>
      <c r="C10" s="35">
        <f>((Вводные!$B$12*$A10*Билеты!$B$23)*C$5)-IF(Вводные!$B$18=2,((Вводные!$B$12*$A10*Билеты!$B$23)*C$5)*(1-Вводные!$B$20)*Вводные!$B$19,0)-((Вводные!$B$12*$A10*Билеты!$B$23)*C$5)*Вводные!$B$26-((Вводные!$B$12*$A10*Билеты!$B$23)*C$5)*Вводные!$B$25-(Вводные!$B$12*$A10)*Вводные!$B$41-Расходы!$E$58+IF(Вводные!$B$38="Да",Билеты!$E$32*(1-Вводные!$B$25),0)</f>
        <v/>
      </c>
      <c r="D10" s="35">
        <f>((Вводные!$B$12*$A10*Билеты!$B$23)*D$5)-IF(Вводные!$B$18=2,((Вводные!$B$12*$A10*Билеты!$B$23)*D$5)*(1-Вводные!$B$20)*Вводные!$B$19,0)-((Вводные!$B$12*$A10*Билеты!$B$23)*D$5)*Вводные!$B$26-((Вводные!$B$12*$A10*Билеты!$B$23)*D$5)*Вводные!$B$25-(Вводные!$B$12*$A10)*Вводные!$B$41-Расходы!$E$58+IF(Вводные!$B$38="Да",Билеты!$E$32*(1-Вводные!$B$25),0)</f>
        <v/>
      </c>
      <c r="E10" s="35">
        <f>((Вводные!$B$12*$A10*Билеты!$B$23)*E$5)-IF(Вводные!$B$18=2,((Вводные!$B$12*$A10*Билеты!$B$23)*E$5)*(1-Вводные!$B$20)*Вводные!$B$19,0)-((Вводные!$B$12*$A10*Билеты!$B$23)*E$5)*Вводные!$B$26-((Вводные!$B$12*$A10*Билеты!$B$23)*E$5)*Вводные!$B$25-(Вводные!$B$12*$A10)*Вводные!$B$41-Расходы!$E$58+IF(Вводные!$B$38="Да",Билеты!$E$32*(1-Вводные!$B$25),0)</f>
        <v/>
      </c>
      <c r="F10" s="35">
        <f>((Вводные!$B$12*$A10*Билеты!$B$23)*F$5)-IF(Вводные!$B$18=2,((Вводные!$B$12*$A10*Билеты!$B$23)*F$5)*(1-Вводные!$B$20)*Вводные!$B$19,0)-((Вводные!$B$12*$A10*Билеты!$B$23)*F$5)*Вводные!$B$26-((Вводные!$B$12*$A10*Билеты!$B$23)*F$5)*Вводные!$B$25-(Вводные!$B$12*$A10)*Вводные!$B$41-Расходы!$E$58+IF(Вводные!$B$38="Да",Билеты!$E$32*(1-Вводные!$B$25),0)</f>
        <v/>
      </c>
      <c r="G10" s="35">
        <f>((Вводные!$B$12*$A10*Билеты!$B$23)*G$5)-IF(Вводные!$B$18=2,((Вводные!$B$12*$A10*Билеты!$B$23)*G$5)*(1-Вводные!$B$20)*Вводные!$B$19,0)-((Вводные!$B$12*$A10*Билеты!$B$23)*G$5)*Вводные!$B$26-((Вводные!$B$12*$A10*Билеты!$B$23)*G$5)*Вводные!$B$25-(Вводные!$B$12*$A10)*Вводные!$B$41-Расходы!$E$58+IF(Вводные!$B$38="Да",Билеты!$E$32*(1-Вводные!$B$25),0)</f>
        <v/>
      </c>
      <c r="H10" s="35">
        <f>((Вводные!$B$12*$A10*Билеты!$B$23)*H$5)-IF(Вводные!$B$18=2,((Вводные!$B$12*$A10*Билеты!$B$23)*H$5)*(1-Вводные!$B$20)*Вводные!$B$19,0)-((Вводные!$B$12*$A10*Билеты!$B$23)*H$5)*Вводные!$B$26-((Вводные!$B$12*$A10*Билеты!$B$23)*H$5)*Вводные!$B$25-(Вводные!$B$12*$A10)*Вводные!$B$41-Расходы!$E$58+IF(Вводные!$B$38="Да",Билеты!$E$32*(1-Вводные!$B$25),0)</f>
        <v/>
      </c>
    </row>
    <row r="11">
      <c r="A11" s="87" t="n">
        <v>0.8</v>
      </c>
      <c r="B11" s="35">
        <f>((Вводные!$B$12*$A11*Билеты!$B$23)*B$5)-IF(Вводные!$B$18=2,((Вводные!$B$12*$A11*Билеты!$B$23)*B$5)*(1-Вводные!$B$20)*Вводные!$B$19,0)-((Вводные!$B$12*$A11*Билеты!$B$23)*B$5)*Вводные!$B$26-((Вводные!$B$12*$A11*Билеты!$B$23)*B$5)*Вводные!$B$25-(Вводные!$B$12*$A11)*Вводные!$B$41-Расходы!$E$58+IF(Вводные!$B$38="Да",Билеты!$E$32*(1-Вводные!$B$25),0)</f>
        <v/>
      </c>
      <c r="C11" s="35">
        <f>((Вводные!$B$12*$A11*Билеты!$B$23)*C$5)-IF(Вводные!$B$18=2,((Вводные!$B$12*$A11*Билеты!$B$23)*C$5)*(1-Вводные!$B$20)*Вводные!$B$19,0)-((Вводные!$B$12*$A11*Билеты!$B$23)*C$5)*Вводные!$B$26-((Вводные!$B$12*$A11*Билеты!$B$23)*C$5)*Вводные!$B$25-(Вводные!$B$12*$A11)*Вводные!$B$41-Расходы!$E$58+IF(Вводные!$B$38="Да",Билеты!$E$32*(1-Вводные!$B$25),0)</f>
        <v/>
      </c>
      <c r="D11" s="35">
        <f>((Вводные!$B$12*$A11*Билеты!$B$23)*D$5)-IF(Вводные!$B$18=2,((Вводные!$B$12*$A11*Билеты!$B$23)*D$5)*(1-Вводные!$B$20)*Вводные!$B$19,0)-((Вводные!$B$12*$A11*Билеты!$B$23)*D$5)*Вводные!$B$26-((Вводные!$B$12*$A11*Билеты!$B$23)*D$5)*Вводные!$B$25-(Вводные!$B$12*$A11)*Вводные!$B$41-Расходы!$E$58+IF(Вводные!$B$38="Да",Билеты!$E$32*(1-Вводные!$B$25),0)</f>
        <v/>
      </c>
      <c r="E11" s="35">
        <f>((Вводные!$B$12*$A11*Билеты!$B$23)*E$5)-IF(Вводные!$B$18=2,((Вводные!$B$12*$A11*Билеты!$B$23)*E$5)*(1-Вводные!$B$20)*Вводные!$B$19,0)-((Вводные!$B$12*$A11*Билеты!$B$23)*E$5)*Вводные!$B$26-((Вводные!$B$12*$A11*Билеты!$B$23)*E$5)*Вводные!$B$25-(Вводные!$B$12*$A11)*Вводные!$B$41-Расходы!$E$58+IF(Вводные!$B$38="Да",Билеты!$E$32*(1-Вводные!$B$25),0)</f>
        <v/>
      </c>
      <c r="F11" s="35">
        <f>((Вводные!$B$12*$A11*Билеты!$B$23)*F$5)-IF(Вводные!$B$18=2,((Вводные!$B$12*$A11*Билеты!$B$23)*F$5)*(1-Вводные!$B$20)*Вводные!$B$19,0)-((Вводные!$B$12*$A11*Билеты!$B$23)*F$5)*Вводные!$B$26-((Вводные!$B$12*$A11*Билеты!$B$23)*F$5)*Вводные!$B$25-(Вводные!$B$12*$A11)*Вводные!$B$41-Расходы!$E$58+IF(Вводные!$B$38="Да",Билеты!$E$32*(1-Вводные!$B$25),0)</f>
        <v/>
      </c>
      <c r="G11" s="35">
        <f>((Вводные!$B$12*$A11*Билеты!$B$23)*G$5)-IF(Вводные!$B$18=2,((Вводные!$B$12*$A11*Билеты!$B$23)*G$5)*(1-Вводные!$B$20)*Вводные!$B$19,0)-((Вводные!$B$12*$A11*Билеты!$B$23)*G$5)*Вводные!$B$26-((Вводные!$B$12*$A11*Билеты!$B$23)*G$5)*Вводные!$B$25-(Вводные!$B$12*$A11)*Вводные!$B$41-Расходы!$E$58+IF(Вводные!$B$38="Да",Билеты!$E$32*(1-Вводные!$B$25),0)</f>
        <v/>
      </c>
      <c r="H11" s="35">
        <f>((Вводные!$B$12*$A11*Билеты!$B$23)*H$5)-IF(Вводные!$B$18=2,((Вводные!$B$12*$A11*Билеты!$B$23)*H$5)*(1-Вводные!$B$20)*Вводные!$B$19,0)-((Вводные!$B$12*$A11*Билеты!$B$23)*H$5)*Вводные!$B$26-((Вводные!$B$12*$A11*Билеты!$B$23)*H$5)*Вводные!$B$25-(Вводные!$B$12*$A11)*Вводные!$B$41-Расходы!$E$58+IF(Вводные!$B$38="Да",Билеты!$E$32*(1-Вводные!$B$25),0)</f>
        <v/>
      </c>
    </row>
    <row r="12">
      <c r="A12" s="87" t="n">
        <v>0.9</v>
      </c>
      <c r="B12" s="35">
        <f>((Вводные!$B$12*$A12*Билеты!$B$23)*B$5)-IF(Вводные!$B$18=2,((Вводные!$B$12*$A12*Билеты!$B$23)*B$5)*(1-Вводные!$B$20)*Вводные!$B$19,0)-((Вводные!$B$12*$A12*Билеты!$B$23)*B$5)*Вводные!$B$26-((Вводные!$B$12*$A12*Билеты!$B$23)*B$5)*Вводные!$B$25-(Вводные!$B$12*$A12)*Вводные!$B$41-Расходы!$E$58+IF(Вводные!$B$38="Да",Билеты!$E$32*(1-Вводные!$B$25),0)</f>
        <v/>
      </c>
      <c r="C12" s="35">
        <f>((Вводные!$B$12*$A12*Билеты!$B$23)*C$5)-IF(Вводные!$B$18=2,((Вводные!$B$12*$A12*Билеты!$B$23)*C$5)*(1-Вводные!$B$20)*Вводные!$B$19,0)-((Вводные!$B$12*$A12*Билеты!$B$23)*C$5)*Вводные!$B$26-((Вводные!$B$12*$A12*Билеты!$B$23)*C$5)*Вводные!$B$25-(Вводные!$B$12*$A12)*Вводные!$B$41-Расходы!$E$58+IF(Вводные!$B$38="Да",Билеты!$E$32*(1-Вводные!$B$25),0)</f>
        <v/>
      </c>
      <c r="D12" s="35">
        <f>((Вводные!$B$12*$A12*Билеты!$B$23)*D$5)-IF(Вводные!$B$18=2,((Вводные!$B$12*$A12*Билеты!$B$23)*D$5)*(1-Вводные!$B$20)*Вводные!$B$19,0)-((Вводные!$B$12*$A12*Билеты!$B$23)*D$5)*Вводные!$B$26-((Вводные!$B$12*$A12*Билеты!$B$23)*D$5)*Вводные!$B$25-(Вводные!$B$12*$A12)*Вводные!$B$41-Расходы!$E$58+IF(Вводные!$B$38="Да",Билеты!$E$32*(1-Вводные!$B$25),0)</f>
        <v/>
      </c>
      <c r="E12" s="35">
        <f>((Вводные!$B$12*$A12*Билеты!$B$23)*E$5)-IF(Вводные!$B$18=2,((Вводные!$B$12*$A12*Билеты!$B$23)*E$5)*(1-Вводные!$B$20)*Вводные!$B$19,0)-((Вводные!$B$12*$A12*Билеты!$B$23)*E$5)*Вводные!$B$26-((Вводные!$B$12*$A12*Билеты!$B$23)*E$5)*Вводные!$B$25-(Вводные!$B$12*$A12)*Вводные!$B$41-Расходы!$E$58+IF(Вводные!$B$38="Да",Билеты!$E$32*(1-Вводные!$B$25),0)</f>
        <v/>
      </c>
      <c r="F12" s="35">
        <f>((Вводные!$B$12*$A12*Билеты!$B$23)*F$5)-IF(Вводные!$B$18=2,((Вводные!$B$12*$A12*Билеты!$B$23)*F$5)*(1-Вводные!$B$20)*Вводные!$B$19,0)-((Вводные!$B$12*$A12*Билеты!$B$23)*F$5)*Вводные!$B$26-((Вводные!$B$12*$A12*Билеты!$B$23)*F$5)*Вводные!$B$25-(Вводные!$B$12*$A12)*Вводные!$B$41-Расходы!$E$58+IF(Вводные!$B$38="Да",Билеты!$E$32*(1-Вводные!$B$25),0)</f>
        <v/>
      </c>
      <c r="G12" s="35">
        <f>((Вводные!$B$12*$A12*Билеты!$B$23)*G$5)-IF(Вводные!$B$18=2,((Вводные!$B$12*$A12*Билеты!$B$23)*G$5)*(1-Вводные!$B$20)*Вводные!$B$19,0)-((Вводные!$B$12*$A12*Билеты!$B$23)*G$5)*Вводные!$B$26-((Вводные!$B$12*$A12*Билеты!$B$23)*G$5)*Вводные!$B$25-(Вводные!$B$12*$A12)*Вводные!$B$41-Расходы!$E$58+IF(Вводные!$B$38="Да",Билеты!$E$32*(1-Вводные!$B$25),0)</f>
        <v/>
      </c>
      <c r="H12" s="35">
        <f>((Вводные!$B$12*$A12*Билеты!$B$23)*H$5)-IF(Вводные!$B$18=2,((Вводные!$B$12*$A12*Билеты!$B$23)*H$5)*(1-Вводные!$B$20)*Вводные!$B$19,0)-((Вводные!$B$12*$A12*Билеты!$B$23)*H$5)*Вводные!$B$26-((Вводные!$B$12*$A12*Билеты!$B$23)*H$5)*Вводные!$B$25-(Вводные!$B$12*$A12)*Вводные!$B$41-Расходы!$E$58+IF(Вводные!$B$38="Да",Билеты!$E$32*(1-Вводные!$B$25),0)</f>
        <v/>
      </c>
    </row>
    <row r="13">
      <c r="A13" s="87" t="n">
        <v>1</v>
      </c>
      <c r="B13" s="35">
        <f>((Вводные!$B$12*$A13*Билеты!$B$23)*B$5)-IF(Вводные!$B$18=2,((Вводные!$B$12*$A13*Билеты!$B$23)*B$5)*(1-Вводные!$B$20)*Вводные!$B$19,0)-((Вводные!$B$12*$A13*Билеты!$B$23)*B$5)*Вводные!$B$26-((Вводные!$B$12*$A13*Билеты!$B$23)*B$5)*Вводные!$B$25-(Вводные!$B$12*$A13)*Вводные!$B$41-Расходы!$E$58+IF(Вводные!$B$38="Да",Билеты!$E$32*(1-Вводные!$B$25),0)</f>
        <v/>
      </c>
      <c r="C13" s="35">
        <f>((Вводные!$B$12*$A13*Билеты!$B$23)*C$5)-IF(Вводные!$B$18=2,((Вводные!$B$12*$A13*Билеты!$B$23)*C$5)*(1-Вводные!$B$20)*Вводные!$B$19,0)-((Вводные!$B$12*$A13*Билеты!$B$23)*C$5)*Вводные!$B$26-((Вводные!$B$12*$A13*Билеты!$B$23)*C$5)*Вводные!$B$25-(Вводные!$B$12*$A13)*Вводные!$B$41-Расходы!$E$58+IF(Вводные!$B$38="Да",Билеты!$E$32*(1-Вводные!$B$25),0)</f>
        <v/>
      </c>
      <c r="D13" s="35">
        <f>((Вводные!$B$12*$A13*Билеты!$B$23)*D$5)-IF(Вводные!$B$18=2,((Вводные!$B$12*$A13*Билеты!$B$23)*D$5)*(1-Вводные!$B$20)*Вводные!$B$19,0)-((Вводные!$B$12*$A13*Билеты!$B$23)*D$5)*Вводные!$B$26-((Вводные!$B$12*$A13*Билеты!$B$23)*D$5)*Вводные!$B$25-(Вводные!$B$12*$A13)*Вводные!$B$41-Расходы!$E$58+IF(Вводные!$B$38="Да",Билеты!$E$32*(1-Вводные!$B$25),0)</f>
        <v/>
      </c>
      <c r="E13" s="35">
        <f>((Вводные!$B$12*$A13*Билеты!$B$23)*E$5)-IF(Вводные!$B$18=2,((Вводные!$B$12*$A13*Билеты!$B$23)*E$5)*(1-Вводные!$B$20)*Вводные!$B$19,0)-((Вводные!$B$12*$A13*Билеты!$B$23)*E$5)*Вводные!$B$26-((Вводные!$B$12*$A13*Билеты!$B$23)*E$5)*Вводные!$B$25-(Вводные!$B$12*$A13)*Вводные!$B$41-Расходы!$E$58+IF(Вводные!$B$38="Да",Билеты!$E$32*(1-Вводные!$B$25),0)</f>
        <v/>
      </c>
      <c r="F13" s="35">
        <f>((Вводные!$B$12*$A13*Билеты!$B$23)*F$5)-IF(Вводные!$B$18=2,((Вводные!$B$12*$A13*Билеты!$B$23)*F$5)*(1-Вводные!$B$20)*Вводные!$B$19,0)-((Вводные!$B$12*$A13*Билеты!$B$23)*F$5)*Вводные!$B$26-((Вводные!$B$12*$A13*Билеты!$B$23)*F$5)*Вводные!$B$25-(Вводные!$B$12*$A13)*Вводные!$B$41-Расходы!$E$58+IF(Вводные!$B$38="Да",Билеты!$E$32*(1-Вводные!$B$25),0)</f>
        <v/>
      </c>
      <c r="G13" s="35">
        <f>((Вводные!$B$12*$A13*Билеты!$B$23)*G$5)-IF(Вводные!$B$18=2,((Вводные!$B$12*$A13*Билеты!$B$23)*G$5)*(1-Вводные!$B$20)*Вводные!$B$19,0)-((Вводные!$B$12*$A13*Билеты!$B$23)*G$5)*Вводные!$B$26-((Вводные!$B$12*$A13*Билеты!$B$23)*G$5)*Вводные!$B$25-(Вводные!$B$12*$A13)*Вводные!$B$41-Расходы!$E$58+IF(Вводные!$B$38="Да",Билеты!$E$32*(1-Вводные!$B$25),0)</f>
        <v/>
      </c>
      <c r="H13" s="35">
        <f>((Вводные!$B$12*$A13*Билеты!$B$23)*H$5)-IF(Вводные!$B$18=2,((Вводные!$B$12*$A13*Билеты!$B$23)*H$5)*(1-Вводные!$B$20)*Вводные!$B$19,0)-((Вводные!$B$12*$A13*Билеты!$B$23)*H$5)*Вводные!$B$26-((Вводные!$B$12*$A13*Билеты!$B$23)*H$5)*Вводные!$B$25-(Вводные!$B$12*$A13)*Вводные!$B$41-Расходы!$E$58+IF(Вводные!$B$38="Да",Билеты!$E$32*(1-Вводные!$B$25),0)</f>
        <v/>
      </c>
    </row>
    <row r="14">
      <c r="A14" s="4" t="n"/>
      <c r="B14" s="4" t="n"/>
      <c r="C14" s="4" t="n"/>
      <c r="D14" s="4" t="n"/>
      <c r="E14" s="4" t="n"/>
      <c r="F14" s="4" t="n"/>
      <c r="G14" s="4" t="n"/>
      <c r="H14" s="4" t="n"/>
    </row>
    <row r="15">
      <c r="A15" s="85" t="inlineStr">
        <is>
          <t>ИТОГО чистый доход организатора после раздела и всех налогов, ₽</t>
        </is>
      </c>
      <c r="B15" s="4" t="n"/>
      <c r="C15" s="4" t="n"/>
      <c r="D15" s="4" t="n"/>
      <c r="E15" s="4" t="n"/>
      <c r="F15" s="4" t="n"/>
      <c r="G15" s="4" t="n"/>
      <c r="H15" s="4" t="n"/>
    </row>
    <row r="16" ht="32" customHeight="1">
      <c r="A16" s="32" t="inlineStr">
        <is>
          <t>Заполняемость \ Средняя цена</t>
        </is>
      </c>
      <c r="B16" s="86" t="n">
        <v>1500</v>
      </c>
      <c r="C16" s="86" t="n">
        <v>2000</v>
      </c>
      <c r="D16" s="86" t="n">
        <v>2500</v>
      </c>
      <c r="E16" s="86" t="n">
        <v>3000</v>
      </c>
      <c r="F16" s="86" t="n">
        <v>3500</v>
      </c>
      <c r="G16" s="86" t="n">
        <v>4000</v>
      </c>
      <c r="H16" s="86" t="n">
        <v>4500</v>
      </c>
    </row>
    <row r="17">
      <c r="A17" s="87" t="n">
        <v>0.3</v>
      </c>
      <c r="B17" s="35">
        <f>IF(B6&gt;=0,B6*Вводные!$B$35,IF(Вводные!$B$37="Да",B6*Вводные!$B$35,B6))-MAX(0,IF(B6&gt;=0,B6*Вводные!$B$35,IF(Вводные!$B$37="Да",B6*Вводные!$B$35,B6)))*Вводные!$B$32+IF(Вводные!$B$38="Да",0,Билеты!$E$32)*(1-Вводные!$B$32)</f>
        <v/>
      </c>
      <c r="C17" s="35">
        <f>IF(C6&gt;=0,C6*Вводные!$B$35,IF(Вводные!$B$37="Да",C6*Вводные!$B$35,C6))-MAX(0,IF(C6&gt;=0,C6*Вводные!$B$35,IF(Вводные!$B$37="Да",C6*Вводные!$B$35,C6)))*Вводные!$B$32+IF(Вводные!$B$38="Да",0,Билеты!$E$32)*(1-Вводные!$B$32)</f>
        <v/>
      </c>
      <c r="D17" s="35">
        <f>IF(D6&gt;=0,D6*Вводные!$B$35,IF(Вводные!$B$37="Да",D6*Вводные!$B$35,D6))-MAX(0,IF(D6&gt;=0,D6*Вводные!$B$35,IF(Вводные!$B$37="Да",D6*Вводные!$B$35,D6)))*Вводные!$B$32+IF(Вводные!$B$38="Да",0,Билеты!$E$32)*(1-Вводные!$B$32)</f>
        <v/>
      </c>
      <c r="E17" s="35">
        <f>IF(E6&gt;=0,E6*Вводные!$B$35,IF(Вводные!$B$37="Да",E6*Вводные!$B$35,E6))-MAX(0,IF(E6&gt;=0,E6*Вводные!$B$35,IF(Вводные!$B$37="Да",E6*Вводные!$B$35,E6)))*Вводные!$B$32+IF(Вводные!$B$38="Да",0,Билеты!$E$32)*(1-Вводные!$B$32)</f>
        <v/>
      </c>
      <c r="F17" s="35">
        <f>IF(F6&gt;=0,F6*Вводные!$B$35,IF(Вводные!$B$37="Да",F6*Вводные!$B$35,F6))-MAX(0,IF(F6&gt;=0,F6*Вводные!$B$35,IF(Вводные!$B$37="Да",F6*Вводные!$B$35,F6)))*Вводные!$B$32+IF(Вводные!$B$38="Да",0,Билеты!$E$32)*(1-Вводные!$B$32)</f>
        <v/>
      </c>
      <c r="G17" s="35">
        <f>IF(G6&gt;=0,G6*Вводные!$B$35,IF(Вводные!$B$37="Да",G6*Вводные!$B$35,G6))-MAX(0,IF(G6&gt;=0,G6*Вводные!$B$35,IF(Вводные!$B$37="Да",G6*Вводные!$B$35,G6)))*Вводные!$B$32+IF(Вводные!$B$38="Да",0,Билеты!$E$32)*(1-Вводные!$B$32)</f>
        <v/>
      </c>
      <c r="H17" s="35">
        <f>IF(H6&gt;=0,H6*Вводные!$B$35,IF(Вводные!$B$37="Да",H6*Вводные!$B$35,H6))-MAX(0,IF(H6&gt;=0,H6*Вводные!$B$35,IF(Вводные!$B$37="Да",H6*Вводные!$B$35,H6)))*Вводные!$B$32+IF(Вводные!$B$38="Да",0,Билеты!$E$32)*(1-Вводные!$B$32)</f>
        <v/>
      </c>
    </row>
    <row r="18">
      <c r="A18" s="87" t="n">
        <v>0.4</v>
      </c>
      <c r="B18" s="35">
        <f>IF(B7&gt;=0,B7*Вводные!$B$35,IF(Вводные!$B$37="Да",B7*Вводные!$B$35,B7))-MAX(0,IF(B7&gt;=0,B7*Вводные!$B$35,IF(Вводные!$B$37="Да",B7*Вводные!$B$35,B7)))*Вводные!$B$32+IF(Вводные!$B$38="Да",0,Билеты!$E$32)*(1-Вводные!$B$32)</f>
        <v/>
      </c>
      <c r="C18" s="35">
        <f>IF(C7&gt;=0,C7*Вводные!$B$35,IF(Вводные!$B$37="Да",C7*Вводные!$B$35,C7))-MAX(0,IF(C7&gt;=0,C7*Вводные!$B$35,IF(Вводные!$B$37="Да",C7*Вводные!$B$35,C7)))*Вводные!$B$32+IF(Вводные!$B$38="Да",0,Билеты!$E$32)*(1-Вводные!$B$32)</f>
        <v/>
      </c>
      <c r="D18" s="35">
        <f>IF(D7&gt;=0,D7*Вводные!$B$35,IF(Вводные!$B$37="Да",D7*Вводные!$B$35,D7))-MAX(0,IF(D7&gt;=0,D7*Вводные!$B$35,IF(Вводные!$B$37="Да",D7*Вводные!$B$35,D7)))*Вводные!$B$32+IF(Вводные!$B$38="Да",0,Билеты!$E$32)*(1-Вводные!$B$32)</f>
        <v/>
      </c>
      <c r="E18" s="35">
        <f>IF(E7&gt;=0,E7*Вводные!$B$35,IF(Вводные!$B$37="Да",E7*Вводные!$B$35,E7))-MAX(0,IF(E7&gt;=0,E7*Вводные!$B$35,IF(Вводные!$B$37="Да",E7*Вводные!$B$35,E7)))*Вводные!$B$32+IF(Вводные!$B$38="Да",0,Билеты!$E$32)*(1-Вводные!$B$32)</f>
        <v/>
      </c>
      <c r="F18" s="35">
        <f>IF(F7&gt;=0,F7*Вводные!$B$35,IF(Вводные!$B$37="Да",F7*Вводные!$B$35,F7))-MAX(0,IF(F7&gt;=0,F7*Вводные!$B$35,IF(Вводные!$B$37="Да",F7*Вводные!$B$35,F7)))*Вводные!$B$32+IF(Вводные!$B$38="Да",0,Билеты!$E$32)*(1-Вводные!$B$32)</f>
        <v/>
      </c>
      <c r="G18" s="35">
        <f>IF(G7&gt;=0,G7*Вводные!$B$35,IF(Вводные!$B$37="Да",G7*Вводные!$B$35,G7))-MAX(0,IF(G7&gt;=0,G7*Вводные!$B$35,IF(Вводные!$B$37="Да",G7*Вводные!$B$35,G7)))*Вводные!$B$32+IF(Вводные!$B$38="Да",0,Билеты!$E$32)*(1-Вводные!$B$32)</f>
        <v/>
      </c>
      <c r="H18" s="35">
        <f>IF(H7&gt;=0,H7*Вводные!$B$35,IF(Вводные!$B$37="Да",H7*Вводные!$B$35,H7))-MAX(0,IF(H7&gt;=0,H7*Вводные!$B$35,IF(Вводные!$B$37="Да",H7*Вводные!$B$35,H7)))*Вводные!$B$32+IF(Вводные!$B$38="Да",0,Билеты!$E$32)*(1-Вводные!$B$32)</f>
        <v/>
      </c>
    </row>
    <row r="19">
      <c r="A19" s="87" t="n">
        <v>0.5</v>
      </c>
      <c r="B19" s="35">
        <f>IF(B8&gt;=0,B8*Вводные!$B$35,IF(Вводные!$B$37="Да",B8*Вводные!$B$35,B8))-MAX(0,IF(B8&gt;=0,B8*Вводные!$B$35,IF(Вводные!$B$37="Да",B8*Вводные!$B$35,B8)))*Вводные!$B$32+IF(Вводные!$B$38="Да",0,Билеты!$E$32)*(1-Вводные!$B$32)</f>
        <v/>
      </c>
      <c r="C19" s="35">
        <f>IF(C8&gt;=0,C8*Вводные!$B$35,IF(Вводные!$B$37="Да",C8*Вводные!$B$35,C8))-MAX(0,IF(C8&gt;=0,C8*Вводные!$B$35,IF(Вводные!$B$37="Да",C8*Вводные!$B$35,C8)))*Вводные!$B$32+IF(Вводные!$B$38="Да",0,Билеты!$E$32)*(1-Вводные!$B$32)</f>
        <v/>
      </c>
      <c r="D19" s="35">
        <f>IF(D8&gt;=0,D8*Вводные!$B$35,IF(Вводные!$B$37="Да",D8*Вводные!$B$35,D8))-MAX(0,IF(D8&gt;=0,D8*Вводные!$B$35,IF(Вводные!$B$37="Да",D8*Вводные!$B$35,D8)))*Вводные!$B$32+IF(Вводные!$B$38="Да",0,Билеты!$E$32)*(1-Вводные!$B$32)</f>
        <v/>
      </c>
      <c r="E19" s="35">
        <f>IF(E8&gt;=0,E8*Вводные!$B$35,IF(Вводные!$B$37="Да",E8*Вводные!$B$35,E8))-MAX(0,IF(E8&gt;=0,E8*Вводные!$B$35,IF(Вводные!$B$37="Да",E8*Вводные!$B$35,E8)))*Вводные!$B$32+IF(Вводные!$B$38="Да",0,Билеты!$E$32)*(1-Вводные!$B$32)</f>
        <v/>
      </c>
      <c r="F19" s="35">
        <f>IF(F8&gt;=0,F8*Вводные!$B$35,IF(Вводные!$B$37="Да",F8*Вводные!$B$35,F8))-MAX(0,IF(F8&gt;=0,F8*Вводные!$B$35,IF(Вводные!$B$37="Да",F8*Вводные!$B$35,F8)))*Вводные!$B$32+IF(Вводные!$B$38="Да",0,Билеты!$E$32)*(1-Вводные!$B$32)</f>
        <v/>
      </c>
      <c r="G19" s="35">
        <f>IF(G8&gt;=0,G8*Вводные!$B$35,IF(Вводные!$B$37="Да",G8*Вводные!$B$35,G8))-MAX(0,IF(G8&gt;=0,G8*Вводные!$B$35,IF(Вводные!$B$37="Да",G8*Вводные!$B$35,G8)))*Вводные!$B$32+IF(Вводные!$B$38="Да",0,Билеты!$E$32)*(1-Вводные!$B$32)</f>
        <v/>
      </c>
      <c r="H19" s="35">
        <f>IF(H8&gt;=0,H8*Вводные!$B$35,IF(Вводные!$B$37="Да",H8*Вводные!$B$35,H8))-MAX(0,IF(H8&gt;=0,H8*Вводные!$B$35,IF(Вводные!$B$37="Да",H8*Вводные!$B$35,H8)))*Вводные!$B$32+IF(Вводные!$B$38="Да",0,Билеты!$E$32)*(1-Вводные!$B$32)</f>
        <v/>
      </c>
    </row>
    <row r="20">
      <c r="A20" s="87" t="n">
        <v>0.6</v>
      </c>
      <c r="B20" s="35">
        <f>IF(B9&gt;=0,B9*Вводные!$B$35,IF(Вводные!$B$37="Да",B9*Вводные!$B$35,B9))-MAX(0,IF(B9&gt;=0,B9*Вводные!$B$35,IF(Вводные!$B$37="Да",B9*Вводные!$B$35,B9)))*Вводные!$B$32+IF(Вводные!$B$38="Да",0,Билеты!$E$32)*(1-Вводные!$B$32)</f>
        <v/>
      </c>
      <c r="C20" s="35">
        <f>IF(C9&gt;=0,C9*Вводные!$B$35,IF(Вводные!$B$37="Да",C9*Вводные!$B$35,C9))-MAX(0,IF(C9&gt;=0,C9*Вводные!$B$35,IF(Вводные!$B$37="Да",C9*Вводные!$B$35,C9)))*Вводные!$B$32+IF(Вводные!$B$38="Да",0,Билеты!$E$32)*(1-Вводные!$B$32)</f>
        <v/>
      </c>
      <c r="D20" s="35">
        <f>IF(D9&gt;=0,D9*Вводные!$B$35,IF(Вводные!$B$37="Да",D9*Вводные!$B$35,D9))-MAX(0,IF(D9&gt;=0,D9*Вводные!$B$35,IF(Вводные!$B$37="Да",D9*Вводные!$B$35,D9)))*Вводные!$B$32+IF(Вводные!$B$38="Да",0,Билеты!$E$32)*(1-Вводные!$B$32)</f>
        <v/>
      </c>
      <c r="E20" s="35">
        <f>IF(E9&gt;=0,E9*Вводные!$B$35,IF(Вводные!$B$37="Да",E9*Вводные!$B$35,E9))-MAX(0,IF(E9&gt;=0,E9*Вводные!$B$35,IF(Вводные!$B$37="Да",E9*Вводные!$B$35,E9)))*Вводные!$B$32+IF(Вводные!$B$38="Да",0,Билеты!$E$32)*(1-Вводные!$B$32)</f>
        <v/>
      </c>
      <c r="F20" s="35">
        <f>IF(F9&gt;=0,F9*Вводные!$B$35,IF(Вводные!$B$37="Да",F9*Вводные!$B$35,F9))-MAX(0,IF(F9&gt;=0,F9*Вводные!$B$35,IF(Вводные!$B$37="Да",F9*Вводные!$B$35,F9)))*Вводные!$B$32+IF(Вводные!$B$38="Да",0,Билеты!$E$32)*(1-Вводные!$B$32)</f>
        <v/>
      </c>
      <c r="G20" s="35">
        <f>IF(G9&gt;=0,G9*Вводные!$B$35,IF(Вводные!$B$37="Да",G9*Вводные!$B$35,G9))-MAX(0,IF(G9&gt;=0,G9*Вводные!$B$35,IF(Вводные!$B$37="Да",G9*Вводные!$B$35,G9)))*Вводные!$B$32+IF(Вводные!$B$38="Да",0,Билеты!$E$32)*(1-Вводные!$B$32)</f>
        <v/>
      </c>
      <c r="H20" s="35">
        <f>IF(H9&gt;=0,H9*Вводные!$B$35,IF(Вводные!$B$37="Да",H9*Вводные!$B$35,H9))-MAX(0,IF(H9&gt;=0,H9*Вводные!$B$35,IF(Вводные!$B$37="Да",H9*Вводные!$B$35,H9)))*Вводные!$B$32+IF(Вводные!$B$38="Да",0,Билеты!$E$32)*(1-Вводные!$B$32)</f>
        <v/>
      </c>
    </row>
    <row r="21">
      <c r="A21" s="87" t="n">
        <v>0.7</v>
      </c>
      <c r="B21" s="35">
        <f>IF(B10&gt;=0,B10*Вводные!$B$35,IF(Вводные!$B$37="Да",B10*Вводные!$B$35,B10))-MAX(0,IF(B10&gt;=0,B10*Вводные!$B$35,IF(Вводные!$B$37="Да",B10*Вводные!$B$35,B10)))*Вводные!$B$32+IF(Вводные!$B$38="Да",0,Билеты!$E$32)*(1-Вводные!$B$32)</f>
        <v/>
      </c>
      <c r="C21" s="35">
        <f>IF(C10&gt;=0,C10*Вводные!$B$35,IF(Вводные!$B$37="Да",C10*Вводные!$B$35,C10))-MAX(0,IF(C10&gt;=0,C10*Вводные!$B$35,IF(Вводные!$B$37="Да",C10*Вводные!$B$35,C10)))*Вводные!$B$32+IF(Вводные!$B$38="Да",0,Билеты!$E$32)*(1-Вводные!$B$32)</f>
        <v/>
      </c>
      <c r="D21" s="35">
        <f>IF(D10&gt;=0,D10*Вводные!$B$35,IF(Вводные!$B$37="Да",D10*Вводные!$B$35,D10))-MAX(0,IF(D10&gt;=0,D10*Вводные!$B$35,IF(Вводные!$B$37="Да",D10*Вводные!$B$35,D10)))*Вводные!$B$32+IF(Вводные!$B$38="Да",0,Билеты!$E$32)*(1-Вводные!$B$32)</f>
        <v/>
      </c>
      <c r="E21" s="35">
        <f>IF(E10&gt;=0,E10*Вводные!$B$35,IF(Вводные!$B$37="Да",E10*Вводные!$B$35,E10))-MAX(0,IF(E10&gt;=0,E10*Вводные!$B$35,IF(Вводные!$B$37="Да",E10*Вводные!$B$35,E10)))*Вводные!$B$32+IF(Вводные!$B$38="Да",0,Билеты!$E$32)*(1-Вводные!$B$32)</f>
        <v/>
      </c>
      <c r="F21" s="35">
        <f>IF(F10&gt;=0,F10*Вводные!$B$35,IF(Вводные!$B$37="Да",F10*Вводные!$B$35,F10))-MAX(0,IF(F10&gt;=0,F10*Вводные!$B$35,IF(Вводные!$B$37="Да",F10*Вводные!$B$35,F10)))*Вводные!$B$32+IF(Вводные!$B$38="Да",0,Билеты!$E$32)*(1-Вводные!$B$32)</f>
        <v/>
      </c>
      <c r="G21" s="35">
        <f>IF(G10&gt;=0,G10*Вводные!$B$35,IF(Вводные!$B$37="Да",G10*Вводные!$B$35,G10))-MAX(0,IF(G10&gt;=0,G10*Вводные!$B$35,IF(Вводные!$B$37="Да",G10*Вводные!$B$35,G10)))*Вводные!$B$32+IF(Вводные!$B$38="Да",0,Билеты!$E$32)*(1-Вводные!$B$32)</f>
        <v/>
      </c>
      <c r="H21" s="35">
        <f>IF(H10&gt;=0,H10*Вводные!$B$35,IF(Вводные!$B$37="Да",H10*Вводные!$B$35,H10))-MAX(0,IF(H10&gt;=0,H10*Вводные!$B$35,IF(Вводные!$B$37="Да",H10*Вводные!$B$35,H10)))*Вводные!$B$32+IF(Вводные!$B$38="Да",0,Билеты!$E$32)*(1-Вводные!$B$32)</f>
        <v/>
      </c>
    </row>
    <row r="22">
      <c r="A22" s="87" t="n">
        <v>0.8</v>
      </c>
      <c r="B22" s="35">
        <f>IF(B11&gt;=0,B11*Вводные!$B$35,IF(Вводные!$B$37="Да",B11*Вводные!$B$35,B11))-MAX(0,IF(B11&gt;=0,B11*Вводные!$B$35,IF(Вводные!$B$37="Да",B11*Вводные!$B$35,B11)))*Вводные!$B$32+IF(Вводные!$B$38="Да",0,Билеты!$E$32)*(1-Вводные!$B$32)</f>
        <v/>
      </c>
      <c r="C22" s="35">
        <f>IF(C11&gt;=0,C11*Вводные!$B$35,IF(Вводные!$B$37="Да",C11*Вводные!$B$35,C11))-MAX(0,IF(C11&gt;=0,C11*Вводные!$B$35,IF(Вводные!$B$37="Да",C11*Вводные!$B$35,C11)))*Вводные!$B$32+IF(Вводные!$B$38="Да",0,Билеты!$E$32)*(1-Вводные!$B$32)</f>
        <v/>
      </c>
      <c r="D22" s="35">
        <f>IF(D11&gt;=0,D11*Вводные!$B$35,IF(Вводные!$B$37="Да",D11*Вводные!$B$35,D11))-MAX(0,IF(D11&gt;=0,D11*Вводные!$B$35,IF(Вводные!$B$37="Да",D11*Вводные!$B$35,D11)))*Вводные!$B$32+IF(Вводные!$B$38="Да",0,Билеты!$E$32)*(1-Вводные!$B$32)</f>
        <v/>
      </c>
      <c r="E22" s="35">
        <f>IF(E11&gt;=0,E11*Вводные!$B$35,IF(Вводные!$B$37="Да",E11*Вводные!$B$35,E11))-MAX(0,IF(E11&gt;=0,E11*Вводные!$B$35,IF(Вводные!$B$37="Да",E11*Вводные!$B$35,E11)))*Вводные!$B$32+IF(Вводные!$B$38="Да",0,Билеты!$E$32)*(1-Вводные!$B$32)</f>
        <v/>
      </c>
      <c r="F22" s="35">
        <f>IF(F11&gt;=0,F11*Вводные!$B$35,IF(Вводные!$B$37="Да",F11*Вводные!$B$35,F11))-MAX(0,IF(F11&gt;=0,F11*Вводные!$B$35,IF(Вводные!$B$37="Да",F11*Вводные!$B$35,F11)))*Вводные!$B$32+IF(Вводные!$B$38="Да",0,Билеты!$E$32)*(1-Вводные!$B$32)</f>
        <v/>
      </c>
      <c r="G22" s="35">
        <f>IF(G11&gt;=0,G11*Вводные!$B$35,IF(Вводные!$B$37="Да",G11*Вводные!$B$35,G11))-MAX(0,IF(G11&gt;=0,G11*Вводные!$B$35,IF(Вводные!$B$37="Да",G11*Вводные!$B$35,G11)))*Вводные!$B$32+IF(Вводные!$B$38="Да",0,Билеты!$E$32)*(1-Вводные!$B$32)</f>
        <v/>
      </c>
      <c r="H22" s="35">
        <f>IF(H11&gt;=0,H11*Вводные!$B$35,IF(Вводные!$B$37="Да",H11*Вводные!$B$35,H11))-MAX(0,IF(H11&gt;=0,H11*Вводные!$B$35,IF(Вводные!$B$37="Да",H11*Вводные!$B$35,H11)))*Вводные!$B$32+IF(Вводные!$B$38="Да",0,Билеты!$E$32)*(1-Вводные!$B$32)</f>
        <v/>
      </c>
    </row>
    <row r="23">
      <c r="A23" s="87" t="n">
        <v>0.9</v>
      </c>
      <c r="B23" s="35">
        <f>IF(B12&gt;=0,B12*Вводные!$B$35,IF(Вводные!$B$37="Да",B12*Вводные!$B$35,B12))-MAX(0,IF(B12&gt;=0,B12*Вводные!$B$35,IF(Вводные!$B$37="Да",B12*Вводные!$B$35,B12)))*Вводные!$B$32+IF(Вводные!$B$38="Да",0,Билеты!$E$32)*(1-Вводные!$B$32)</f>
        <v/>
      </c>
      <c r="C23" s="35">
        <f>IF(C12&gt;=0,C12*Вводные!$B$35,IF(Вводные!$B$37="Да",C12*Вводные!$B$35,C12))-MAX(0,IF(C12&gt;=0,C12*Вводные!$B$35,IF(Вводные!$B$37="Да",C12*Вводные!$B$35,C12)))*Вводные!$B$32+IF(Вводные!$B$38="Да",0,Билеты!$E$32)*(1-Вводные!$B$32)</f>
        <v/>
      </c>
      <c r="D23" s="35">
        <f>IF(D12&gt;=0,D12*Вводные!$B$35,IF(Вводные!$B$37="Да",D12*Вводные!$B$35,D12))-MAX(0,IF(D12&gt;=0,D12*Вводные!$B$35,IF(Вводные!$B$37="Да",D12*Вводные!$B$35,D12)))*Вводные!$B$32+IF(Вводные!$B$38="Да",0,Билеты!$E$32)*(1-Вводные!$B$32)</f>
        <v/>
      </c>
      <c r="E23" s="35">
        <f>IF(E12&gt;=0,E12*Вводные!$B$35,IF(Вводные!$B$37="Да",E12*Вводные!$B$35,E12))-MAX(0,IF(E12&gt;=0,E12*Вводные!$B$35,IF(Вводные!$B$37="Да",E12*Вводные!$B$35,E12)))*Вводные!$B$32+IF(Вводные!$B$38="Да",0,Билеты!$E$32)*(1-Вводные!$B$32)</f>
        <v/>
      </c>
      <c r="F23" s="35">
        <f>IF(F12&gt;=0,F12*Вводные!$B$35,IF(Вводные!$B$37="Да",F12*Вводные!$B$35,F12))-MAX(0,IF(F12&gt;=0,F12*Вводные!$B$35,IF(Вводные!$B$37="Да",F12*Вводные!$B$35,F12)))*Вводные!$B$32+IF(Вводные!$B$38="Да",0,Билеты!$E$32)*(1-Вводные!$B$32)</f>
        <v/>
      </c>
      <c r="G23" s="35">
        <f>IF(G12&gt;=0,G12*Вводные!$B$35,IF(Вводные!$B$37="Да",G12*Вводные!$B$35,G12))-MAX(0,IF(G12&gt;=0,G12*Вводные!$B$35,IF(Вводные!$B$37="Да",G12*Вводные!$B$35,G12)))*Вводные!$B$32+IF(Вводные!$B$38="Да",0,Билеты!$E$32)*(1-Вводные!$B$32)</f>
        <v/>
      </c>
      <c r="H23" s="35">
        <f>IF(H12&gt;=0,H12*Вводные!$B$35,IF(Вводные!$B$37="Да",H12*Вводные!$B$35,H12))-MAX(0,IF(H12&gt;=0,H12*Вводные!$B$35,IF(Вводные!$B$37="Да",H12*Вводные!$B$35,H12)))*Вводные!$B$32+IF(Вводные!$B$38="Да",0,Билеты!$E$32)*(1-Вводные!$B$32)</f>
        <v/>
      </c>
    </row>
    <row r="24">
      <c r="A24" s="87" t="n">
        <v>1</v>
      </c>
      <c r="B24" s="35">
        <f>IF(B13&gt;=0,B13*Вводные!$B$35,IF(Вводные!$B$37="Да",B13*Вводные!$B$35,B13))-MAX(0,IF(B13&gt;=0,B13*Вводные!$B$35,IF(Вводные!$B$37="Да",B13*Вводные!$B$35,B13)))*Вводные!$B$32+IF(Вводные!$B$38="Да",0,Билеты!$E$32)*(1-Вводные!$B$32)</f>
        <v/>
      </c>
      <c r="C24" s="35">
        <f>IF(C13&gt;=0,C13*Вводные!$B$35,IF(Вводные!$B$37="Да",C13*Вводные!$B$35,C13))-MAX(0,IF(C13&gt;=0,C13*Вводные!$B$35,IF(Вводные!$B$37="Да",C13*Вводные!$B$35,C13)))*Вводные!$B$32+IF(Вводные!$B$38="Да",0,Билеты!$E$32)*(1-Вводные!$B$32)</f>
        <v/>
      </c>
      <c r="D24" s="35">
        <f>IF(D13&gt;=0,D13*Вводные!$B$35,IF(Вводные!$B$37="Да",D13*Вводные!$B$35,D13))-MAX(0,IF(D13&gt;=0,D13*Вводные!$B$35,IF(Вводные!$B$37="Да",D13*Вводные!$B$35,D13)))*Вводные!$B$32+IF(Вводные!$B$38="Да",0,Билеты!$E$32)*(1-Вводные!$B$32)</f>
        <v/>
      </c>
      <c r="E24" s="35">
        <f>IF(E13&gt;=0,E13*Вводные!$B$35,IF(Вводные!$B$37="Да",E13*Вводные!$B$35,E13))-MAX(0,IF(E13&gt;=0,E13*Вводные!$B$35,IF(Вводные!$B$37="Да",E13*Вводные!$B$35,E13)))*Вводные!$B$32+IF(Вводные!$B$38="Да",0,Билеты!$E$32)*(1-Вводные!$B$32)</f>
        <v/>
      </c>
      <c r="F24" s="35">
        <f>IF(F13&gt;=0,F13*Вводные!$B$35,IF(Вводные!$B$37="Да",F13*Вводные!$B$35,F13))-MAX(0,IF(F13&gt;=0,F13*Вводные!$B$35,IF(Вводные!$B$37="Да",F13*Вводные!$B$35,F13)))*Вводные!$B$32+IF(Вводные!$B$38="Да",0,Билеты!$E$32)*(1-Вводные!$B$32)</f>
        <v/>
      </c>
      <c r="G24" s="35">
        <f>IF(G13&gt;=0,G13*Вводные!$B$35,IF(Вводные!$B$37="Да",G13*Вводные!$B$35,G13))-MAX(0,IF(G13&gt;=0,G13*Вводные!$B$35,IF(Вводные!$B$37="Да",G13*Вводные!$B$35,G13)))*Вводные!$B$32+IF(Вводные!$B$38="Да",0,Билеты!$E$32)*(1-Вводные!$B$32)</f>
        <v/>
      </c>
      <c r="H24" s="35">
        <f>IF(H13&gt;=0,H13*Вводные!$B$35,IF(Вводные!$B$37="Да",H13*Вводные!$B$35,H13))-MAX(0,IF(H13&gt;=0,H13*Вводные!$B$35,IF(Вводные!$B$37="Да",H13*Вводные!$B$35,H13)))*Вводные!$B$32+IF(Вводные!$B$38="Да",0,Билеты!$E$32)*(1-Вводные!$B$32)</f>
        <v/>
      </c>
    </row>
    <row r="25">
      <c r="A25" s="4" t="n"/>
      <c r="B25" s="4" t="n"/>
      <c r="C25" s="4" t="n"/>
      <c r="D25" s="4" t="n"/>
      <c r="E25" s="4" t="n"/>
      <c r="F25" s="4" t="n"/>
      <c r="G25" s="4" t="n"/>
      <c r="H25" s="4" t="n"/>
    </row>
    <row r="26">
      <c r="A26" s="4" t="n"/>
      <c r="B26" s="4" t="n"/>
      <c r="C26" s="4" t="n"/>
      <c r="D26" s="4" t="n"/>
      <c r="E26" s="4" t="n"/>
      <c r="F26" s="4" t="n"/>
      <c r="G26" s="4" t="n"/>
      <c r="H26" s="4" t="n"/>
    </row>
    <row r="27">
      <c r="A27" s="85" t="inlineStr">
        <is>
          <t>Точка безубыточности при разной средней цене билета</t>
        </is>
      </c>
      <c r="B27" s="4" t="n"/>
      <c r="C27" s="4" t="n"/>
      <c r="D27" s="4" t="n"/>
      <c r="E27" s="4" t="n"/>
      <c r="F27" s="4" t="n"/>
      <c r="G27" s="4" t="n"/>
      <c r="H27" s="4" t="n"/>
    </row>
    <row r="28">
      <c r="A28" s="88" t="inlineStr">
        <is>
          <t>Средняя цена, ₽</t>
        </is>
      </c>
      <c r="B28" s="86" t="n">
        <v>1500</v>
      </c>
      <c r="C28" s="86" t="n">
        <v>2000</v>
      </c>
      <c r="D28" s="86" t="n">
        <v>2500</v>
      </c>
      <c r="E28" s="86" t="n">
        <v>3000</v>
      </c>
      <c r="F28" s="86" t="n">
        <v>3500</v>
      </c>
      <c r="G28" s="86" t="n">
        <v>4000</v>
      </c>
      <c r="H28" s="86" t="n">
        <v>4500</v>
      </c>
    </row>
    <row r="29">
      <c r="A29" s="7" t="inlineStr">
        <is>
          <t>Нужно продать платных билетов, шт</t>
        </is>
      </c>
      <c r="B29" s="89">
        <f>IF((B$28*(1-IF(Вводные!$B$18=2,Вводные!$B$19*(1-Вводные!$B$20),0)-Вводные!$B$26-Вводные!$B$25)-IFERROR(Вводные!$B$41/Билеты!$B$23,Вводные!$B$41))&lt;=0,"н/д",ROUNDUP(Расходы!$E$58/(B$28*(1-IF(Вводные!$B$18=2,Вводные!$B$19*(1-Вводные!$B$20),0)-Вводные!$B$26-Вводные!$B$25)-IFERROR(Вводные!$B$41/Билеты!$B$23,Вводные!$B$41)),0))</f>
        <v/>
      </c>
      <c r="C29" s="89">
        <f>IF((C$28*(1-IF(Вводные!$B$18=2,Вводные!$B$19*(1-Вводные!$B$20),0)-Вводные!$B$26-Вводные!$B$25)-IFERROR(Вводные!$B$41/Билеты!$B$23,Вводные!$B$41))&lt;=0,"н/д",ROUNDUP(Расходы!$E$58/(C$28*(1-IF(Вводные!$B$18=2,Вводные!$B$19*(1-Вводные!$B$20),0)-Вводные!$B$26-Вводные!$B$25)-IFERROR(Вводные!$B$41/Билеты!$B$23,Вводные!$B$41)),0))</f>
        <v/>
      </c>
      <c r="D29" s="89">
        <f>IF((D$28*(1-IF(Вводные!$B$18=2,Вводные!$B$19*(1-Вводные!$B$20),0)-Вводные!$B$26-Вводные!$B$25)-IFERROR(Вводные!$B$41/Билеты!$B$23,Вводные!$B$41))&lt;=0,"н/д",ROUNDUP(Расходы!$E$58/(D$28*(1-IF(Вводные!$B$18=2,Вводные!$B$19*(1-Вводные!$B$20),0)-Вводные!$B$26-Вводные!$B$25)-IFERROR(Вводные!$B$41/Билеты!$B$23,Вводные!$B$41)),0))</f>
        <v/>
      </c>
      <c r="E29" s="89">
        <f>IF((E$28*(1-IF(Вводные!$B$18=2,Вводные!$B$19*(1-Вводные!$B$20),0)-Вводные!$B$26-Вводные!$B$25)-IFERROR(Вводные!$B$41/Билеты!$B$23,Вводные!$B$41))&lt;=0,"н/д",ROUNDUP(Расходы!$E$58/(E$28*(1-IF(Вводные!$B$18=2,Вводные!$B$19*(1-Вводные!$B$20),0)-Вводные!$B$26-Вводные!$B$25)-IFERROR(Вводные!$B$41/Билеты!$B$23,Вводные!$B$41)),0))</f>
        <v/>
      </c>
      <c r="F29" s="89">
        <f>IF((F$28*(1-IF(Вводные!$B$18=2,Вводные!$B$19*(1-Вводные!$B$20),0)-Вводные!$B$26-Вводные!$B$25)-IFERROR(Вводные!$B$41/Билеты!$B$23,Вводные!$B$41))&lt;=0,"н/д",ROUNDUP(Расходы!$E$58/(F$28*(1-IF(Вводные!$B$18=2,Вводные!$B$19*(1-Вводные!$B$20),0)-Вводные!$B$26-Вводные!$B$25)-IFERROR(Вводные!$B$41/Билеты!$B$23,Вводные!$B$41)),0))</f>
        <v/>
      </c>
      <c r="G29" s="89">
        <f>IF((G$28*(1-IF(Вводные!$B$18=2,Вводные!$B$19*(1-Вводные!$B$20),0)-Вводные!$B$26-Вводные!$B$25)-IFERROR(Вводные!$B$41/Билеты!$B$23,Вводные!$B$41))&lt;=0,"н/д",ROUNDUP(Расходы!$E$58/(G$28*(1-IF(Вводные!$B$18=2,Вводные!$B$19*(1-Вводные!$B$20),0)-Вводные!$B$26-Вводные!$B$25)-IFERROR(Вводные!$B$41/Билеты!$B$23,Вводные!$B$41)),0))</f>
        <v/>
      </c>
      <c r="H29" s="89">
        <f>IF((H$28*(1-IF(Вводные!$B$18=2,Вводные!$B$19*(1-Вводные!$B$20),0)-Вводные!$B$26-Вводные!$B$25)-IFERROR(Вводные!$B$41/Билеты!$B$23,Вводные!$B$41))&lt;=0,"н/д",ROUNDUP(Расходы!$E$58/(H$28*(1-IF(Вводные!$B$18=2,Вводные!$B$19*(1-Вводные!$B$20),0)-Вводные!$B$26-Вводные!$B$25)-IFERROR(Вводные!$B$41/Билеты!$B$23,Вводные!$B$41)),0))</f>
        <v/>
      </c>
    </row>
    <row r="30">
      <c r="A30" s="6" t="inlineStr">
        <is>
          <t>Это заполняемость зала, %</t>
        </is>
      </c>
      <c r="B30" s="90">
        <f>IFERROR(B29/Билеты!$B$23/Вводные!$B$12,"н/д")</f>
        <v/>
      </c>
      <c r="C30" s="90">
        <f>IFERROR(C29/Билеты!$B$23/Вводные!$B$12,"н/д")</f>
        <v/>
      </c>
      <c r="D30" s="90">
        <f>IFERROR(D29/Билеты!$B$23/Вводные!$B$12,"н/д")</f>
        <v/>
      </c>
      <c r="E30" s="90">
        <f>IFERROR(E29/Билеты!$B$23/Вводные!$B$12,"н/д")</f>
        <v/>
      </c>
      <c r="F30" s="90">
        <f>IFERROR(F29/Билеты!$B$23/Вводные!$B$12,"н/д")</f>
        <v/>
      </c>
      <c r="G30" s="90">
        <f>IFERROR(G29/Билеты!$B$23/Вводные!$B$12,"н/д")</f>
        <v/>
      </c>
      <c r="H30" s="90">
        <f>IFERROR(H29/Билеты!$B$23/Вводные!$B$12,"н/д")</f>
        <v/>
      </c>
    </row>
  </sheetData>
  <conditionalFormatting sqref="B6:H13">
    <cfRule type="colorScale" priority="1">
      <colorScale>
        <cfvo type="num" val="-300000"/>
        <cfvo type="num" val="0"/>
        <cfvo type="num" val="500000"/>
        <color rgb="00F8696B"/>
        <color rgb="00FFEB84"/>
        <color rgb="0063BE7B"/>
      </colorScale>
    </cfRule>
  </conditionalFormatting>
  <conditionalFormatting sqref="B17:H24">
    <cfRule type="colorScale" priority="2">
      <colorScale>
        <cfvo type="num" val="-300000"/>
        <cfvo type="num" val="0"/>
        <cfvo type="num" val="500000"/>
        <color rgb="00F8696B"/>
        <color rgb="00FFEB84"/>
        <color rgb="0063BE7B"/>
      </colorScale>
    </cfRule>
  </conditionalFormatting>
  <conditionalFormatting sqref="B30:H30">
    <cfRule type="cellIs" priority="3" operator="greaterThan" dxfId="0">
      <formula>1</formula>
    </cfRule>
  </conditionalFormatting>
  <pageMargins left="0.75" right="0.75" top="1" bottom="1"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1:H23"/>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52" customWidth="1" min="3" max="3"/>
    <col width="34" customWidth="1" min="4" max="4"/>
    <col width="20" customWidth="1" min="5" max="5"/>
    <col width="52" customWidth="1" min="6" max="6"/>
  </cols>
  <sheetData>
    <row r="1" ht="30" customHeight="1">
      <c r="A1" s="1" t="inlineStr">
        <is>
          <t>ВАРИАНТЫ УЛУЧШЕНИЯ ЭКОНОМИКИ</t>
        </is>
      </c>
      <c r="B1" s="2" t="n"/>
      <c r="C1" s="2" t="n"/>
      <c r="D1" s="2" t="n"/>
      <c r="E1" s="2" t="n"/>
      <c r="F1" s="2" t="n"/>
      <c r="G1" s="2" t="n"/>
      <c r="H1" s="2" t="n"/>
    </row>
    <row r="2">
      <c r="A2" s="3" t="inlineStr">
        <is>
          <t>Каждый вариант привязан к конкретной ячейке модели — можно проверить эффект прямо в файле. Оценки эффекта ориентировочные, для клубного концерта на 300 мест.</t>
        </is>
      </c>
      <c r="B2" s="4" t="n"/>
      <c r="C2" s="4" t="n"/>
      <c r="D2" s="4" t="n"/>
      <c r="E2" s="4" t="n"/>
      <c r="F2" s="4" t="n"/>
      <c r="G2" s="4" t="n"/>
      <c r="H2" s="4" t="n"/>
    </row>
    <row r="3">
      <c r="A3" s="4" t="n"/>
      <c r="B3" s="4" t="n"/>
      <c r="C3" s="4" t="n"/>
      <c r="D3" s="4" t="n"/>
      <c r="E3" s="4" t="n"/>
      <c r="F3" s="4" t="n"/>
      <c r="G3" s="4" t="n"/>
      <c r="H3" s="4" t="n"/>
    </row>
    <row r="4" ht="30" customHeight="1">
      <c r="A4" s="32" t="inlineStr">
        <is>
          <t>№</t>
        </is>
      </c>
      <c r="B4" s="32" t="inlineStr">
        <is>
          <t>Направление</t>
        </is>
      </c>
      <c r="C4" s="32" t="inlineStr">
        <is>
          <t>Что конкретно сделать</t>
        </is>
      </c>
      <c r="D4" s="32" t="inlineStr">
        <is>
          <t>Где в модели</t>
        </is>
      </c>
      <c r="E4" s="32" t="inlineStr">
        <is>
          <t>Оценка эффекта</t>
        </is>
      </c>
      <c r="F4" s="32" t="inlineStr">
        <is>
          <t>Что учесть / риск</t>
        </is>
      </c>
      <c r="G4" s="4" t="n"/>
      <c r="H4" s="4" t="n"/>
    </row>
    <row r="5" ht="46" customHeight="1">
      <c r="A5" s="91" t="n">
        <v>1</v>
      </c>
      <c r="B5" s="92" t="inlineStr">
        <is>
          <t>Цена</t>
        </is>
      </c>
      <c r="C5" s="93" t="inlineStr">
        <is>
          <t>Волновое ценообразование: early bird → предпродажа → цена на входе. Ранняя квота даёт деньги на маркетинг ещё до концерта.</t>
        </is>
      </c>
      <c r="D5" s="94" t="inlineStr">
        <is>
          <t>Лист «Билеты», категории 1–3</t>
        </is>
      </c>
      <c r="E5" s="95" t="inlineStr">
        <is>
          <t>+5–10% к сбору</t>
        </is>
      </c>
      <c r="F5" s="96" t="inlineStr">
        <is>
          <t>Уже заложено в модель. Не делайте разрыв больше 40% — обесценивает раннюю цену</t>
        </is>
      </c>
      <c r="G5" s="4" t="n"/>
      <c r="H5" s="4" t="n"/>
    </row>
    <row r="6" ht="46" customHeight="1">
      <c r="A6" s="97" t="n">
        <v>2</v>
      </c>
      <c r="B6" s="98" t="inlineStr">
        <is>
          <t>Цена</t>
        </is>
      </c>
      <c r="C6" s="99" t="inlineStr">
        <is>
          <t>Поднять цену фан-зоны и вложить в неё мерч и ранний вход. Люди платят за статус, а не за метры.</t>
        </is>
      </c>
      <c r="D6" s="100" t="inlineStr">
        <is>
          <t>Лист «Билеты», строка «Фан-зона / VIP»</t>
        </is>
      </c>
      <c r="E6" s="101" t="inlineStr">
        <is>
          <t>+3–7% к сбору</t>
        </is>
      </c>
      <c r="F6" s="102" t="inlineStr">
        <is>
          <t>Квота VIP выше 15% зала обычно не продаётся</t>
        </is>
      </c>
      <c r="G6" s="4" t="n"/>
      <c r="H6" s="4" t="n"/>
    </row>
    <row r="7" ht="46" customHeight="1">
      <c r="A7" s="91" t="n">
        <v>3</v>
      </c>
      <c r="B7" s="92" t="inlineStr">
        <is>
          <t>Цена</t>
        </is>
      </c>
      <c r="C7" s="93" t="inlineStr">
        <is>
          <t>Пакеты: «билет + футболка», «два билета со скидкой 10%». Растёт средний чек и конверсия.</t>
        </is>
      </c>
      <c r="D7" s="94" t="inlineStr">
        <is>
          <t>Лист «Билеты», доп. категория</t>
        </is>
      </c>
      <c r="E7" s="95" t="inlineStr">
        <is>
          <t>+5% к сбору</t>
        </is>
      </c>
      <c r="F7" s="96" t="inlineStr">
        <is>
          <t>Нужен учёт себестоимости мерча в смете</t>
        </is>
      </c>
      <c r="G7" s="4" t="n"/>
      <c r="H7" s="4" t="n"/>
    </row>
    <row r="8" ht="46" customHeight="1">
      <c r="A8" s="97" t="n">
        <v>4</v>
      </c>
      <c r="B8" s="98" t="inlineStr">
        <is>
          <t>Сделка</t>
        </is>
      </c>
      <c r="C8" s="99" t="inlineStr">
        <is>
          <t>Пересмотреть долю: показать площадке рыночную стоимость её услуг и сравнить с половиной прибыли.</t>
        </is>
      </c>
      <c r="D8" s="100" t="inlineStr">
        <is>
          <t>Расходы: «Рыночная стоимость услуг площадки»</t>
        </is>
      </c>
      <c r="E8" s="101" t="inlineStr">
        <is>
          <t>±10 п.п. доли</t>
        </is>
      </c>
      <c r="F8" s="102" t="inlineStr">
        <is>
          <t>Сильнее всего работает, если вы приводите свою аудиторию</t>
        </is>
      </c>
      <c r="G8" s="4" t="n"/>
      <c r="H8" s="4" t="n"/>
    </row>
    <row r="9" ht="46" customHeight="1">
      <c r="A9" s="91" t="n">
        <v>5</v>
      </c>
      <c r="B9" s="92" t="inlineStr">
        <is>
          <t>Сделка</t>
        </is>
      </c>
      <c r="C9" s="93" t="inlineStr">
        <is>
          <t>Прописать в договоре раздел убытка, а не только прибыли. Сейчас риск асимметричен.</t>
        </is>
      </c>
      <c r="D9" s="94" t="inlineStr">
        <is>
          <t>Вводные: «Убыток делится с площадкой»</t>
        </is>
      </c>
      <c r="E9" s="95" t="inlineStr">
        <is>
          <t>Снижает риск вдвое</t>
        </is>
      </c>
      <c r="F9" s="96" t="inlineStr">
        <is>
          <t>Площадки соглашаются редко — но просить нужно всегда</t>
        </is>
      </c>
      <c r="G9" s="4" t="n"/>
      <c r="H9" s="4" t="n"/>
    </row>
    <row r="10" ht="46" customHeight="1">
      <c r="A10" s="97" t="n">
        <v>6</v>
      </c>
      <c r="B10" s="98" t="inlineStr">
        <is>
          <t>Сделка</t>
        </is>
      </c>
      <c r="C10" s="99" t="inlineStr">
        <is>
          <t>Договориться о доле от выручки бара. Ваша публика приносит площадке бар, а вы этого не видите.</t>
        </is>
      </c>
      <c r="D10" s="100" t="inlineStr">
        <is>
          <t>Билеты: «Доля от выручки бара»</t>
        </is>
      </c>
      <c r="E10" s="101" t="inlineStr">
        <is>
          <t>+20–60 тыс ₽</t>
        </is>
      </c>
      <c r="F10" s="102" t="inlineStr">
        <is>
          <t>Просите фиксированный процент и доступ к отчёту по кассе</t>
        </is>
      </c>
      <c r="G10" s="4" t="n"/>
      <c r="H10" s="4" t="n"/>
    </row>
    <row r="11" ht="46" customHeight="1">
      <c r="A11" s="91" t="n">
        <v>7</v>
      </c>
      <c r="B11" s="92" t="inlineStr">
        <is>
          <t>Налоги</t>
        </is>
      </c>
      <c r="C11" s="93" t="inlineStr">
        <is>
          <t>Убрать второй уровень налога: оформить отношения так, чтобы вашим доходом была сразу ваша доля, а не выплата от площадки.</t>
        </is>
      </c>
      <c r="D11" s="94" t="inlineStr">
        <is>
          <t>Вводные: «Уровень 2»</t>
        </is>
      </c>
      <c r="E11" s="95" t="inlineStr">
        <is>
          <t>До 8% от вашей доли</t>
        </is>
      </c>
      <c r="F11" s="96" t="inlineStr">
        <is>
          <t>ОБЯЗАТЕЛЬНО обсудить с бухгалтером — схема зависит от формы договора</t>
        </is>
      </c>
      <c r="G11" s="4" t="n"/>
      <c r="H11" s="4" t="n"/>
    </row>
    <row r="12" ht="46" customHeight="1">
      <c r="A12" s="97" t="n">
        <v>8</v>
      </c>
      <c r="B12" s="98" t="inlineStr">
        <is>
          <t>Налоги</t>
        </is>
      </c>
      <c r="C12" s="99" t="inlineStr">
        <is>
          <t>Проверить, что попадает в базу УСН при агентской продаже билетов: по агентскому договору доходом может признаваться вся сумма от покупателей, включая удержанную комиссию.</t>
        </is>
      </c>
      <c r="D12" s="100" t="inlineStr">
        <is>
          <t>Вводные: «УСН», лист «Экономика»</t>
        </is>
      </c>
      <c r="E12" s="101" t="inlineStr">
        <is>
          <t>До 1–2% от сбора</t>
        </is>
      </c>
      <c r="F12" s="102" t="inlineStr">
        <is>
          <t>Частая и дорогая ошибка. Уточните формулировки в договоре с оператором</t>
        </is>
      </c>
      <c r="G12" s="4" t="n"/>
      <c r="H12" s="4" t="n"/>
    </row>
    <row r="13" ht="46" customHeight="1">
      <c r="A13" s="91" t="n">
        <v>9</v>
      </c>
      <c r="B13" s="92" t="inlineStr">
        <is>
          <t>РАО</t>
        </is>
      </c>
      <c r="C13" s="93" t="inlineStr">
        <is>
          <t>Декларировать точный репертуар: собственные произведения возвращаются автору через РАО, произведения в общественном достоянии не облагаются.</t>
        </is>
      </c>
      <c r="D13" s="94" t="inlineStr">
        <is>
          <t>Вводные: «Отчисления в РАО»</t>
        </is>
      </c>
      <c r="E13" s="95" t="inlineStr">
        <is>
          <t>До 5% от сбора</t>
        </is>
      </c>
      <c r="F13" s="96" t="inlineStr">
        <is>
          <t>Нужна корректная рапортичка. Не платить вообще — нельзя</t>
        </is>
      </c>
      <c r="G13" s="4" t="n"/>
      <c r="H13" s="4" t="n"/>
    </row>
    <row r="14" ht="46" customHeight="1">
      <c r="A14" s="97" t="n">
        <v>10</v>
      </c>
      <c r="B14" s="98" t="inlineStr">
        <is>
          <t>Билеты</t>
        </is>
      </c>
      <c r="C14" s="99" t="inlineStr">
        <is>
          <t>Перевести сервисный сбор на покупателя (схема 1) или продавать часть билетов напрямую через свою страницу.</t>
        </is>
      </c>
      <c r="D14" s="100" t="inlineStr">
        <is>
          <t>Вводные: «Схема сервисного сбора», «Доля продаж на входе»</t>
        </is>
      </c>
      <c r="E14" s="101" t="inlineStr">
        <is>
          <t>+3–8% к сбору</t>
        </is>
      </c>
      <c r="F14" s="102" t="inlineStr">
        <is>
          <t>Схема 1 повышает итоговую цену для зрителя и может просадить конверсию</t>
        </is>
      </c>
      <c r="G14" s="4" t="n"/>
      <c r="H14" s="4" t="n"/>
    </row>
    <row r="15" ht="46" customHeight="1">
      <c r="A15" s="91" t="n">
        <v>11</v>
      </c>
      <c r="B15" s="92" t="inlineStr">
        <is>
          <t>Маркетинг</t>
        </is>
      </c>
      <c r="C15" s="93" t="inlineStr">
        <is>
          <t>Перераспределить бюджет в каналы с низким CPA: собственная база и Telegram обычно дешевле таргета в разы.</t>
        </is>
      </c>
      <c r="D15" s="94" t="inlineStr">
        <is>
          <t>Лист «Маркетинг», столбцы «Бюджет» и «CPA»</t>
        </is>
      </c>
      <c r="E15" s="95" t="inlineStr">
        <is>
          <t>−20–30% бюджета</t>
        </is>
      </c>
      <c r="F15" s="96" t="inlineStr">
        <is>
          <t>Требует заранее собранной базы. Начинайте собирать на этом концерте</t>
        </is>
      </c>
      <c r="G15" s="4" t="n"/>
      <c r="H15" s="4" t="n"/>
    </row>
    <row r="16" ht="46" customHeight="1">
      <c r="A16" s="97" t="n">
        <v>12</v>
      </c>
      <c r="B16" s="98" t="inlineStr">
        <is>
          <t>Маркетинг</t>
        </is>
      </c>
      <c r="C16" s="99" t="inlineStr">
        <is>
          <t>Кросс-промо: обмен рассылками и сторис с площадками и артистами смежной аудитории вместо платного охвата.</t>
        </is>
      </c>
      <c r="D16" s="100" t="inlineStr">
        <is>
          <t>Лист «Маркетинг», новая строка с бюджетом 0</t>
        </is>
      </c>
      <c r="E16" s="101" t="inlineStr">
        <is>
          <t>−10–15 тыс ₽</t>
        </is>
      </c>
      <c r="F16" s="102" t="inlineStr">
        <is>
          <t>Договариваться нужно за 4–6 недель</t>
        </is>
      </c>
      <c r="G16" s="4" t="n"/>
      <c r="H16" s="4" t="n"/>
    </row>
    <row r="17" ht="46" customHeight="1">
      <c r="A17" s="91" t="n">
        <v>13</v>
      </c>
      <c r="B17" s="92" t="inlineStr">
        <is>
          <t>Маркетинг</t>
        </is>
      </c>
      <c r="C17" s="93" t="inlineStr">
        <is>
          <t>Реферальные промокоды: скидка тому, кто привёл, и тому, кого привели. Считается по коду, а не по ощущениям.</t>
        </is>
      </c>
      <c r="D17" s="94" t="inlineStr">
        <is>
          <t>Лист «Маркетинг», новая строка</t>
        </is>
      </c>
      <c r="E17" s="95" t="inlineStr">
        <is>
          <t>+5–10% продаж</t>
        </is>
      </c>
      <c r="F17" s="96" t="inlineStr">
        <is>
          <t>Скидка уменьшает среднюю цену — заведите отдельную категорию билета</t>
        </is>
      </c>
      <c r="G17" s="4" t="n"/>
      <c r="H17" s="4" t="n"/>
    </row>
    <row r="18" ht="46" customHeight="1">
      <c r="A18" s="97" t="n">
        <v>14</v>
      </c>
      <c r="B18" s="98" t="inlineStr">
        <is>
          <t>Доходы</t>
        </is>
      </c>
      <c r="C18" s="99" t="inlineStr">
        <is>
          <t>Спонсорский или партнёрский пакет: логотип, стенд, семплинг, упоминания. Для клуба на 300 мест это 50–150 тыс ₽.</t>
        </is>
      </c>
      <c r="D18" s="100" t="inlineStr">
        <is>
          <t>Билеты: «Спонсорский пакет»</t>
        </is>
      </c>
      <c r="E18" s="101" t="inlineStr">
        <is>
          <t>+50–150 тыс ₽</t>
        </is>
      </c>
      <c r="F18" s="102" t="inlineStr">
        <is>
          <t>Самый недооценённый источник. Нужна презентация и охваты за 2 месяца</t>
        </is>
      </c>
      <c r="G18" s="4" t="n"/>
      <c r="H18" s="4" t="n"/>
    </row>
    <row r="19" ht="46" customHeight="1">
      <c r="A19" s="91" t="n">
        <v>15</v>
      </c>
      <c r="B19" s="92" t="inlineStr">
        <is>
          <t>Доходы</t>
        </is>
      </c>
      <c r="C19" s="93" t="inlineStr">
        <is>
          <t>Мерч на предзаказ до концерта: печать по факту заказов, без остатков и замороженных денег.</t>
        </is>
      </c>
      <c r="D19" s="94" t="inlineStr">
        <is>
          <t>Билеты: «Мерч»</t>
        </is>
      </c>
      <c r="E19" s="95" t="inlineStr">
        <is>
          <t>+20–40 тыс ₽</t>
        </is>
      </c>
      <c r="F19" s="96" t="inlineStr">
        <is>
          <t>Срок печати 10–14 дней — закрывать предзаказ заранее</t>
        </is>
      </c>
      <c r="G19" s="4" t="n"/>
      <c r="H19" s="4" t="n"/>
    </row>
    <row r="20" ht="46" customHeight="1">
      <c r="A20" s="97" t="n">
        <v>16</v>
      </c>
      <c r="B20" s="98" t="inlineStr">
        <is>
          <t>Доходы</t>
        </is>
      </c>
      <c r="C20" s="99" t="inlineStr">
        <is>
          <t>Снять концерт на 2 камеры и выпустить релиз или стрим. Материал работает и как промо следующего события.</t>
        </is>
      </c>
      <c r="D20" s="100" t="inlineStr">
        <is>
          <t>Билеты: «Съёмка концерта»</t>
        </is>
      </c>
      <c r="E20" s="101" t="inlineStr">
        <is>
          <t>Отложенный доход</t>
        </is>
      </c>
      <c r="F20" s="102" t="inlineStr">
        <is>
          <t>Права на запись нужно закрыть в договорах с музыкантами</t>
        </is>
      </c>
      <c r="G20" s="4" t="n"/>
      <c r="H20" s="4" t="n"/>
    </row>
    <row r="21" ht="46" customHeight="1">
      <c r="A21" s="91" t="n">
        <v>17</v>
      </c>
      <c r="B21" s="92" t="inlineStr">
        <is>
          <t>Риск</t>
        </is>
      </c>
      <c r="C21" s="93" t="inlineStr">
        <is>
          <t>Предпродажа с порогом: анонсировать, но подтверждать концерт только при N проданных билетов.</t>
        </is>
      </c>
      <c r="D21" s="94" t="inlineStr">
        <is>
          <t>Экономика: «Точка безубыточности»</t>
        </is>
      </c>
      <c r="E21" s="95" t="inlineStr">
        <is>
          <t>Убирает риск убытка</t>
        </is>
      </c>
      <c r="F21" s="96" t="inlineStr">
        <is>
          <t>Требует честной коммуникации и возможности вернуть деньги</t>
        </is>
      </c>
      <c r="G21" s="4" t="n"/>
      <c r="H21" s="4" t="n"/>
    </row>
    <row r="22" ht="46" customHeight="1">
      <c r="A22" s="97" t="n">
        <v>18</v>
      </c>
      <c r="B22" s="98" t="inlineStr">
        <is>
          <t>Риск</t>
        </is>
      </c>
      <c r="C22" s="99" t="inlineStr">
        <is>
          <t>Страхование отмены при бюджете свыше 500 тыс ₽.</t>
        </is>
      </c>
      <c r="D22" s="100" t="inlineStr">
        <is>
          <t>Расходы: «Страхование мероприятия»</t>
        </is>
      </c>
      <c r="E22" s="101" t="inlineStr">
        <is>
          <t>Стоит 1–3% бюджета</t>
        </is>
      </c>
      <c r="F22" s="102" t="inlineStr">
        <is>
          <t>Читайте исключения: болезнь артиста покрывается не всегда</t>
        </is>
      </c>
      <c r="G22" s="4" t="n"/>
      <c r="H22" s="4" t="n"/>
    </row>
    <row r="23" ht="46" customHeight="1">
      <c r="A23" s="91" t="n">
        <v>19</v>
      </c>
      <c r="B23" s="92" t="inlineStr">
        <is>
          <t>Риск</t>
        </is>
      </c>
      <c r="C23" s="93" t="inlineStr">
        <is>
          <t>Свести график платежей: предоплаты за аренду, технику и рекламу уходят до того, как придут деньги за билеты.</t>
        </is>
      </c>
      <c r="D23" s="94" t="inlineStr">
        <is>
          <t>Нужен отдельный лист платёжного календаря</t>
        </is>
      </c>
      <c r="E23" s="95" t="inlineStr">
        <is>
          <t>Убирает кассовый разрыв</t>
        </is>
      </c>
      <c r="F23" s="96" t="inlineStr">
        <is>
          <t>Скажите — добавлю платёжный календарь по неделям</t>
        </is>
      </c>
      <c r="G23" s="4" t="n"/>
      <c r="H23" s="4" t="n"/>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2026-09-05T16:01:02Z</dcterms:created>
  <dcterms:modified xsi:type="dcterms:W3CDTF">2026-09-05T16:01:02Z</dcterms:modified>
</cp:coreProperties>
</file>