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<sst xmlns="http://schemas.openxmlformats.org/spreadsheetml/2006/main" count="22" uniqueCount="22">
  <si>
    <t xml:space="preserve">#</t>
  </si>
  <si>
    <t xml:space="preserve">Статья</t>
  </si>
  <si>
    <t xml:space="preserve">Кол-во</t>
  </si>
  <si>
    <t xml:space="preserve">Цена / ставка</t>
  </si>
  <si>
    <t xml:space="preserve">Сумма, ₽</t>
  </si>
  <si>
    <t xml:space="preserve">ВАЛОВОЙ СБОР</t>
  </si>
  <si>
    <t xml:space="preserve">Комиссия за продажу билетов</t>
  </si>
  <si>
    <t xml:space="preserve">ВЫРУЧКА ОТ ПРОДАЖИ БИЛЕТОВ</t>
  </si>
  <si>
    <t xml:space="preserve">РАСХОДЫ ПЛОЩАДКИ</t>
  </si>
  <si>
    <t xml:space="preserve">Налоги УСН</t>
  </si>
  <si>
    <t xml:space="preserve">Отчисления в РАО</t>
  </si>
  <si>
    <t xml:space="preserve">Технические расходы</t>
  </si>
  <si>
    <t xml:space="preserve">ПРИБЫЛЬ ПЛОЩАДКИ</t>
  </si>
  <si>
    <t xml:space="preserve">Доля площадки</t>
  </si>
  <si>
    <t xml:space="preserve">ДОХОД ОРГАНИЗАТОРА</t>
  </si>
  <si>
    <t xml:space="preserve">Налоги</t>
  </si>
  <si>
    <t xml:space="preserve">Банковские комиссии</t>
  </si>
  <si>
    <t xml:space="preserve">БЮДЖЕТ МЕРОПРИЯТИЯ</t>
  </si>
  <si>
    <t xml:space="preserve">Гонорары</t>
  </si>
  <si>
    <t xml:space="preserve">Маркетинг и PR</t>
  </si>
  <si>
    <t xml:space="preserve">Прочие расходы</t>
  </si>
  <si>
    <t xml:space="preserve">ЧИСТЫЙ ДОХОД ОРГАНИЗАТОРА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</si>
</sst>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_(* #,##0.00_);_(* \(#,##0.00\);_(* \-??_);_(@_)"/>
    <numFmt numFmtId="166" formatCode="_-* #,##0.00_-;\-* #,##0.00_-;_-* \-??_-;_-@_-"/>
    <numFmt numFmtId="167" formatCode="_-* #,##0_-;\-* #,##0_-;_-* \-??_-;_-@_-"/>
    <numFmt numFmtId="168" formatCode="0%"/>
  </numFmts>
  <fonts count="6">
    <font>
      <sz val="12"/>
      <color theme="1"/>
      <name val="Aptos Narrow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Arial"/>
      <family val="2"/>
      <charset val="1"/>
    </font>
    <font>
      <b val="true"/>
      <sz val="10"/>
      <color theme="1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8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4" fillId="0" borderId="0" xfId="15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0" xfId="15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5" fillId="2" borderId="0" xfId="15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5" fillId="0" borderId="0" xfId="15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4" fillId="0" borderId="0" xfId="19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4" fillId="2" borderId="0" xfId="15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5" fillId="0" borderId="0" xfId="19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selection pane="topLeft" activeCell="B1" activeCellId="0" sqref="B1"/>
    </sheetView>
  </sheetViews>
  <sheetFormatPr defaultColWidth="10.83203125" defaultRowHeight="12.75" zeroHeight="false" outlineLevelRow="0" outlineLevelCol="0"/>
  <cols>
    <col collapsed="false" customWidth="true" hidden="false" outlineLevel="0" max="1" min="1" style="1" width="2.33"/>
    <col collapsed="false" customWidth="true" hidden="false" outlineLevel="0" max="2" min="2" style="2" width="29.67"/>
    <col collapsed="false" customWidth="true" hidden="false" outlineLevel="0" max="3" min="3" style="2" width="9.16"/>
    <col collapsed="false" customWidth="true" hidden="false" outlineLevel="0" max="4" min="4" style="2" width="12.83"/>
    <col collapsed="false" customWidth="true" hidden="false" outlineLevel="0" max="5" min="5" style="3" width="12.83"/>
    <col collapsed="false" customWidth="false" hidden="false" outlineLevel="0" max="16384" min="6" style="2" width="10.83"/>
  </cols>
  <sheetData>
    <row r="1" customFormat="false" ht="12.75" hidden="false" customHeight="fals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</row>
    <row r="2" customFormat="false" ht="12.75" hidden="false" customHeight="false" outlineLevel="0" collapsed="false">
      <c r="A2" s="4" t="n">
        <v>1</v>
      </c>
      <c r="B2" s="6" t="s">
        <v>5</v>
      </c>
      <c r="C2" s="7" t="n">
        <v>140</v>
      </c>
      <c r="D2" s="7" t="n">
        <v>2500</v>
      </c>
      <c r="E2" s="8" t="n">
        <f aca="false">C2*D2</f>
        <v>350000</v>
      </c>
    </row>
    <row r="3" customFormat="false" ht="12.75" hidden="false" customHeight="false" outlineLevel="0" collapsed="false">
      <c r="B3" s="2" t="s">
        <v>6</v>
      </c>
      <c r="D3" s="9" t="n">
        <v>0.05</v>
      </c>
      <c r="E3" s="3" t="n">
        <f aca="false">E2*D3</f>
        <v>17500</v>
      </c>
    </row>
    <row r="4" customFormat="false" ht="12.75" hidden="false" customHeight="false" outlineLevel="0" collapsed="false">
      <c r="A4" s="4" t="n">
        <v>2</v>
      </c>
      <c r="B4" s="6" t="s">
        <v>7</v>
      </c>
      <c r="C4" s="6"/>
      <c r="D4" s="6"/>
      <c r="E4" s="8" t="n">
        <f aca="false">E2-E3</f>
        <v>332500</v>
      </c>
    </row>
    <row r="5" customFormat="false" ht="12.75" hidden="false" customHeight="false" outlineLevel="0" collapsed="false">
      <c r="A5" s="4" t="n">
        <v>3</v>
      </c>
      <c r="B5" s="6" t="s">
        <v>8</v>
      </c>
      <c r="C5" s="6"/>
      <c r="D5" s="6"/>
      <c r="E5" s="8" t="n">
        <f aca="false">E6+E7+E8</f>
        <v>106550</v>
      </c>
    </row>
    <row r="6" customFormat="false" ht="12.75" hidden="false" customHeight="false" outlineLevel="0" collapsed="false">
      <c r="B6" s="2" t="s">
        <v>9</v>
      </c>
      <c r="D6" s="9" t="n">
        <v>0.06</v>
      </c>
      <c r="E6" s="3" t="n">
        <f aca="false">E4*D6</f>
        <v>19950</v>
      </c>
    </row>
    <row r="7" customFormat="false" ht="12.75" hidden="false" customHeight="false" outlineLevel="0" collapsed="false">
      <c r="B7" s="2" t="s">
        <v>10</v>
      </c>
      <c r="D7" s="9" t="n">
        <v>0.08</v>
      </c>
      <c r="E7" s="3" t="n">
        <f aca="false">E4*D7</f>
        <v>26600</v>
      </c>
    </row>
    <row r="8" customFormat="false" ht="12.75" hidden="false" customHeight="false" outlineLevel="0" collapsed="false">
      <c r="B8" s="2" t="s">
        <v>11</v>
      </c>
      <c r="D8" s="9"/>
      <c r="E8" s="10" t="n">
        <v>60000</v>
      </c>
    </row>
    <row r="9" customFormat="false" ht="12.75" hidden="false" customHeight="false" outlineLevel="0" collapsed="false">
      <c r="A9" s="4" t="n">
        <v>4</v>
      </c>
      <c r="B9" s="6" t="s">
        <v>12</v>
      </c>
      <c r="C9" s="6"/>
      <c r="D9" s="11"/>
      <c r="E9" s="8" t="n">
        <f aca="false">E4-E5</f>
        <v>225950</v>
      </c>
    </row>
    <row r="10" customFormat="false" ht="12.75" hidden="false" customHeight="false" outlineLevel="0" collapsed="false">
      <c r="B10" s="2" t="s">
        <v>13</v>
      </c>
      <c r="D10" s="9" t="n">
        <v>0.5</v>
      </c>
      <c r="E10" s="3" t="n">
        <f aca="false">E9*D10</f>
        <v>112975</v>
      </c>
    </row>
    <row r="11" customFormat="false" ht="12.75" hidden="false" customHeight="false" outlineLevel="0" collapsed="false">
      <c r="A11" s="4" t="n">
        <v>5</v>
      </c>
      <c r="B11" s="6" t="s">
        <v>14</v>
      </c>
      <c r="C11" s="6"/>
      <c r="D11" s="11"/>
      <c r="E11" s="8" t="n">
        <f aca="false">E9-E10</f>
        <v>112975</v>
      </c>
    </row>
    <row r="12" customFormat="false" ht="12.75" hidden="false" customHeight="false" outlineLevel="0" collapsed="false">
      <c r="B12" s="2" t="s">
        <v>15</v>
      </c>
      <c r="D12" s="9" t="n">
        <v>0.07</v>
      </c>
      <c r="E12" s="3" t="n">
        <f aca="false">E11*D12</f>
        <v>7908.25</v>
      </c>
    </row>
    <row r="13" customFormat="false" ht="12.75" hidden="false" customHeight="false" outlineLevel="0" collapsed="false">
      <c r="B13" s="2" t="s">
        <v>16</v>
      </c>
      <c r="D13" s="9" t="n">
        <v>0.01</v>
      </c>
      <c r="E13" s="3" t="n">
        <f aca="false">E11*D13</f>
        <v>1129.75</v>
      </c>
    </row>
    <row r="14" customFormat="false" ht="12.75" hidden="false" customHeight="false" outlineLevel="0" collapsed="false">
      <c r="A14" s="4" t="n">
        <v>6</v>
      </c>
      <c r="B14" s="6" t="s">
        <v>17</v>
      </c>
      <c r="C14" s="6"/>
      <c r="D14" s="11"/>
      <c r="E14" s="8" t="n">
        <f aca="false">E11-E12-E13</f>
        <v>103937</v>
      </c>
    </row>
    <row r="15" customFormat="false" ht="12.75" hidden="false" customHeight="false" outlineLevel="0" collapsed="false">
      <c r="B15" s="2" t="s">
        <v>18</v>
      </c>
      <c r="E15" s="10"/>
    </row>
    <row r="16" customFormat="false" ht="12.75" hidden="false" customHeight="false" outlineLevel="0" collapsed="false">
      <c r="B16" s="2" t="s">
        <v>19</v>
      </c>
      <c r="E16" s="10"/>
    </row>
    <row r="17" customFormat="false" ht="12.75" hidden="false" customHeight="false" outlineLevel="0" collapsed="false">
      <c r="B17" s="2" t="s">
        <v>20</v>
      </c>
      <c r="E17" s="10"/>
    </row>
    <row r="18" customFormat="false" ht="12.75" hidden="false" customHeight="false" outlineLevel="0" collapsed="false">
      <c r="A18" s="4" t="n">
        <v>7</v>
      </c>
      <c r="B18" s="6" t="s">
        <v>21</v>
      </c>
      <c r="C18" s="6"/>
      <c r="D18" s="6"/>
      <c r="E18" s="8" t="n">
        <f aca="false">E14-E15-E16-E17</f>
        <v>103937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2026-09-05T17:10:35Z</dcterms:created>
  <dc:creator>Sergey Krasin</dc:creator>
  <dc:description/>
  <dc:language>en-US</dc:language>
  <cp:lastModifiedBy>Sergey Krasin</cp:lastModifiedBy>
  <dcterms:modified xsi:type="dcterms:W3CDTF">2026-09-05T18:09:03Z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