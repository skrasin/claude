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613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sergeykrasin/Desktop/"/>
    </mc:Choice>
  </mc:AlternateContent>
  <xr:revisionPtr revIDLastSave="0" documentId="13_ncr:1_{913761D7-AC6C-2E4E-A3A5-0749B1788FA9}" xr6:coauthVersionLast="47" xr6:coauthVersionMax="47" xr10:uidLastSave="{00000000-0000-0000-0000-000000000000}"/>
  <bookViews>
    <workbookView xWindow="20" yWindow="660" windowWidth="30220" windowHeight="18980" xr2:uid="{14189B59-06C9-2A44-A3DD-658F6FE08466}"/>
  </bookViews>
  <sheets>
    <sheet name="Лист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E18" i="1" l="1"/>
  <c r="E14" i="1"/>
  <c r="E13" i="1"/>
  <c r="E12" i="1"/>
  <c r="E3" i="1"/>
  <c r="E4" i="1" s="1"/>
  <c r="E7" i="1" s="1"/>
  <c r="E6" i="1" l="1"/>
  <c r="E5" i="1" s="1"/>
</calcChain>
</file>

<file path=xl/sharedStrings.xml><?xml version="1.0" encoding="utf-8"?>
<sst xmlns="http://schemas.openxmlformats.org/spreadsheetml/2006/main" count="22" uniqueCount="22">
  <si>
    <t>Статья</t>
  </si>
  <si>
    <t>Кол-во</t>
  </si>
  <si>
    <t>Цена / ставка</t>
  </si>
  <si>
    <t>Сумма, ₽</t>
  </si>
  <si>
    <t>ВАЛОВОЙ СБОР</t>
  </si>
  <si>
    <t>Налоги УСН</t>
  </si>
  <si>
    <t>Комиссия за продажу билетов</t>
  </si>
  <si>
    <t>Отчисления в РАО</t>
  </si>
  <si>
    <t>Технические расходы</t>
  </si>
  <si>
    <t>Доля площадки</t>
  </si>
  <si>
    <t>Налоги</t>
  </si>
  <si>
    <t>Банковские комиссии</t>
  </si>
  <si>
    <t>Гонорары</t>
  </si>
  <si>
    <t>Прочие расходы</t>
  </si>
  <si>
    <t>ЧИСТЫЙ ДОХОД ОРГАНИЗАТОРА</t>
  </si>
  <si>
    <t>#</t>
  </si>
  <si>
    <t>ВЫРУЧКА ОТ ПРОДАЖИ БИЛЕТОВ</t>
  </si>
  <si>
    <t>РАСХОДЫ ПЛОЩАДКИ</t>
  </si>
  <si>
    <t>ПРИБЫЛЬ ПЛОЩАДКИ</t>
  </si>
  <si>
    <t>Маркетинг и PR</t>
  </si>
  <si>
    <t>БЮДЖЕТ МЕРОПРИЯТИЯ</t>
  </si>
  <si>
    <t>ДОХОД ОРГАНИЗАТОРА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</si>
</sst>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-* #,##0.00_-;\-* #,##0.00_-;_-* &quot;-&quot;??_-;_-@_-"/>
    <numFmt numFmtId="166" formatCode="_-* #,##0_-;\-* #,##0_-;_-* &quot;-&quot;??_-;_-@_-"/>
  </numFmts>
  <fonts count="4" x14ac:knownFonts="1">
    <font>
      <sz val="12"/>
      <color theme="1"/>
      <name val="Aptos Narrow"/>
      <family val="2"/>
      <charset val="204"/>
      <scheme val="minor"/>
    </font>
    <font>
      <sz val="12"/>
      <color theme="1"/>
      <name val="Aptos Narrow"/>
      <family val="2"/>
      <charset val="204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3">
    <xf numFmtId="0" fontId="0" fillId="0" borderId="0" xfId="0"/>
    <xf numFmtId="0" fontId="2" fillId="0" borderId="0" xfId="0" applyFont="1" applyAlignment="1">
      <alignment horizontal="center" vertical="center"/>
    </xf>
    <xf numFmtId="43" fontId="2" fillId="0" borderId="0" xfId="1" applyFont="1" applyAlignment="1">
      <alignment horizontal="center" vertical="center"/>
    </xf>
    <xf numFmtId="0" fontId="3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43" fontId="2" fillId="0" borderId="0" xfId="1" applyFont="1" applyAlignment="1">
      <alignment vertical="center"/>
    </xf>
    <xf numFmtId="9" fontId="3" fillId="0" borderId="0" xfId="2" applyFont="1" applyAlignment="1">
      <alignment vertical="center"/>
    </xf>
    <xf numFmtId="43" fontId="3" fillId="0" borderId="0" xfId="1" applyFont="1" applyAlignment="1">
      <alignment vertical="center"/>
    </xf>
    <xf numFmtId="9" fontId="2" fillId="0" borderId="0" xfId="2" applyFont="1" applyAlignment="1">
      <alignment vertical="center"/>
    </xf>
    <xf numFmtId="0" fontId="3" fillId="0" borderId="0" xfId="0" applyFont="1" applyAlignment="1">
      <alignment horizontal="center" vertical="center"/>
    </xf>
    <xf numFmtId="43" fontId="3" fillId="2" borderId="0" xfId="1" applyFont="1" applyFill="1" applyAlignment="1">
      <alignment vertical="center"/>
    </xf>
    <xf numFmtId="43" fontId="2" fillId="2" borderId="0" xfId="1" applyFont="1" applyFill="1" applyAlignment="1">
      <alignment vertical="center"/>
    </xf>
    <xf numFmtId="166" fontId="2" fillId="2" borderId="0" xfId="1" applyNumberFormat="1" applyFont="1" applyFill="1" applyAlignment="1">
      <alignment vertical="center"/>
    </xf>
  </cellXfs>
  <cellStyles count="3">
    <cellStyle name="Обычный" xfId="0" builtinId="0"/>
    <cellStyle name="Процентный" xfId="2" builtinId="5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Стандартная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AC3421-22AB-D547-B80F-64C5406D118A}">
  <dimension ref="A1:E18"/>
  <sheetViews>
    <sheetView tabSelected="1" zoomScale="130" zoomScaleNormal="130" workbookViewId="0">
      <selection activeCell="B1" sqref="B1"/>
    </sheetView>
  </sheetViews>
  <sheetFormatPr baseColWidth="10" defaultRowHeight="13" x14ac:dyDescent="0.2"/>
  <cols>
    <col min="1" max="1" width="2.33203125" style="9" bestFit="1" customWidth="1"/>
    <col min="2" max="2" width="29.6640625" style="3" bestFit="1" customWidth="1"/>
    <col min="3" max="3" width="9.1640625" style="3" bestFit="1" customWidth="1"/>
    <col min="4" max="4" width="12.83203125" style="3" bestFit="1" customWidth="1"/>
    <col min="5" max="5" width="12.83203125" style="7" bestFit="1" customWidth="1"/>
    <col min="6" max="16384" width="10.83203125" style="3"/>
  </cols>
  <sheetData>
    <row r="1" spans="1:5" x14ac:dyDescent="0.2">
      <c r="A1" s="1" t="s">
        <v>15</v>
      </c>
      <c r="B1" s="1" t="s">
        <v>0</v>
      </c>
      <c r="C1" s="1" t="s">
        <v>1</v>
      </c>
      <c r="D1" s="1" t="s">
        <v>2</v>
      </c>
      <c r="E1" s="2" t="s">
        <v>3</v>
      </c>
    </row>
    <row r="2" spans="1:5" x14ac:dyDescent="0.2">
      <c r="A2" s="1">
        <v>1</v>
      </c>
      <c r="B2" s="4" t="s">
        <v>4</v>
      </c>
      <c r="C2" s="12">
        <v>140</v>
      </c>
      <c r="D2" s="12">
        <v>2500</v>
      </c>
      <c r="E2" s="5">
        <v>500000</v>
      </c>
    </row>
    <row r="3" spans="1:5" x14ac:dyDescent="0.2">
      <c r="B3" s="3" t="s">
        <v>6</v>
      </c>
      <c r="D3" s="6">
        <v>0.05</v>
      </c>
      <c r="E3" s="7">
        <f>E2*D3</f>
        <v>25000</v>
      </c>
    </row>
    <row r="4" spans="1:5" x14ac:dyDescent="0.2">
      <c r="A4" s="1">
        <v>2</v>
      </c>
      <c r="B4" s="4" t="s">
        <v>16</v>
      </c>
      <c r="C4" s="4"/>
      <c r="D4" s="4"/>
      <c r="E4" s="5">
        <f>E2-E3</f>
        <v>475000</v>
      </c>
    </row>
    <row r="5" spans="1:5" x14ac:dyDescent="0.2">
      <c r="A5" s="1">
        <v>3</v>
      </c>
      <c r="B5" s="4" t="s">
        <v>17</v>
      </c>
      <c r="C5" s="4"/>
      <c r="D5" s="4"/>
      <c r="E5" s="5">
        <f>E6+E7+E8</f>
        <v>126500</v>
      </c>
    </row>
    <row r="6" spans="1:5" x14ac:dyDescent="0.2">
      <c r="B6" s="3" t="s">
        <v>5</v>
      </c>
      <c r="D6" s="6">
        <v>0.06</v>
      </c>
      <c r="E6" s="7">
        <f>E4*D6</f>
        <v>28500</v>
      </c>
    </row>
    <row r="7" spans="1:5" x14ac:dyDescent="0.2">
      <c r="B7" s="3" t="s">
        <v>7</v>
      </c>
      <c r="D7" s="6">
        <v>0.08</v>
      </c>
      <c r="E7" s="7">
        <f>E4*D7</f>
        <v>38000</v>
      </c>
    </row>
    <row r="8" spans="1:5" x14ac:dyDescent="0.2">
      <c r="B8" s="3" t="s">
        <v>8</v>
      </c>
      <c r="D8" s="6"/>
      <c r="E8" s="10">
        <v>60000</v>
      </c>
    </row>
    <row r="9" spans="1:5" x14ac:dyDescent="0.2">
      <c r="A9" s="1">
        <v>4</v>
      </c>
      <c r="B9" s="4" t="s">
        <v>18</v>
      </c>
      <c r="C9" s="4"/>
      <c r="D9" s="8"/>
      <c r="E9" s="5">
        <v>255000</v>
      </c>
    </row>
    <row r="10" spans="1:5" x14ac:dyDescent="0.2">
      <c r="B10" s="3" t="s">
        <v>9</v>
      </c>
      <c r="D10" s="6">
        <v>0.5</v>
      </c>
      <c r="E10" s="7">
        <v>-127500</v>
      </c>
    </row>
    <row r="11" spans="1:5" x14ac:dyDescent="0.2">
      <c r="A11" s="1">
        <v>5</v>
      </c>
      <c r="B11" s="4" t="s">
        <v>21</v>
      </c>
      <c r="C11" s="4"/>
      <c r="D11" s="8"/>
      <c r="E11" s="5">
        <v>127500</v>
      </c>
    </row>
    <row r="12" spans="1:5" x14ac:dyDescent="0.2">
      <c r="B12" s="3" t="s">
        <v>10</v>
      </c>
      <c r="D12" s="6">
        <v>7.0000000000000007E-2</v>
      </c>
      <c r="E12" s="7">
        <f>E11*D12</f>
        <v>8925</v>
      </c>
    </row>
    <row r="13" spans="1:5" x14ac:dyDescent="0.2">
      <c r="B13" s="3" t="s">
        <v>11</v>
      </c>
      <c r="D13" s="6">
        <v>0.01</v>
      </c>
      <c r="E13" s="7">
        <f>E11*D13</f>
        <v>1275</v>
      </c>
    </row>
    <row r="14" spans="1:5" x14ac:dyDescent="0.2">
      <c r="A14" s="1">
        <v>6</v>
      </c>
      <c r="B14" s="4" t="s">
        <v>20</v>
      </c>
      <c r="C14" s="4"/>
      <c r="D14" s="8"/>
      <c r="E14" s="11">
        <f>E11-E12-E13</f>
        <v>117300</v>
      </c>
    </row>
    <row r="15" spans="1:5" x14ac:dyDescent="0.2">
      <c r="B15" s="3" t="s">
        <v>12</v>
      </c>
      <c r="E15" s="10"/>
    </row>
    <row r="16" spans="1:5" x14ac:dyDescent="0.2">
      <c r="B16" s="3" t="s">
        <v>19</v>
      </c>
      <c r="E16" s="10"/>
    </row>
    <row r="17" spans="1:5" x14ac:dyDescent="0.2">
      <c r="B17" s="3" t="s">
        <v>13</v>
      </c>
      <c r="E17" s="10"/>
    </row>
    <row r="18" spans="1:5" x14ac:dyDescent="0.2">
      <c r="A18" s="1">
        <v>7</v>
      </c>
      <c r="B18" s="4" t="s">
        <v>14</v>
      </c>
      <c r="C18" s="4"/>
      <c r="D18" s="4"/>
      <c r="E18" s="5">
        <f>E14-E15-E16-E17</f>
        <v>117300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Sergey Krasin</dc:creator>
  <cp:lastModifiedBy>Sergey Krasin</cp:lastModifiedBy>
  <dcterms:created xsi:type="dcterms:W3CDTF">2026-09-05T17:10:35Z</dcterms:created>
  <dcterms:modified xsi:type="dcterms:W3CDTF">2026-09-05T18:07:10Z</dcterms:modified>
</cp:coreProperties>
</file>